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9DC4806-1578-47D4-A9EB-1FC0CE53086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 Collection" sheetId="2" r:id="rId1"/>
    <sheet name="Portfolio Construction" sheetId="3" r:id="rId2"/>
    <sheet name="Performance Evaluation" sheetId="4" r:id="rId3"/>
    <sheet name="Comparative Analysis" sheetId="5" r:id="rId4"/>
    <sheet name="Revised Portfolio" sheetId="6" r:id="rId5"/>
    <sheet name="Investor Suitability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3" l="1"/>
  <c r="L10" i="3"/>
  <c r="C32" i="2"/>
  <c r="E13" i="7" s="1"/>
  <c r="D32" i="2"/>
  <c r="E26" i="3" s="1"/>
  <c r="E32" i="2"/>
  <c r="F32" i="2"/>
  <c r="G32" i="2"/>
  <c r="H32" i="2"/>
  <c r="E25" i="7" s="1"/>
  <c r="I32" i="2"/>
  <c r="J32" i="2"/>
  <c r="K32" i="2"/>
  <c r="E9" i="7" s="1"/>
  <c r="L32" i="2"/>
  <c r="E15" i="3" s="1"/>
  <c r="M32" i="2"/>
  <c r="N32" i="2"/>
  <c r="O32" i="2"/>
  <c r="B32" i="2"/>
  <c r="E22" i="3" s="1"/>
  <c r="C48" i="7"/>
  <c r="C33" i="7"/>
  <c r="C16" i="7"/>
  <c r="C16" i="6"/>
  <c r="B16" i="6"/>
  <c r="D15" i="6"/>
  <c r="D14" i="6"/>
  <c r="D13" i="6"/>
  <c r="D12" i="6"/>
  <c r="D11" i="6"/>
  <c r="D10" i="6"/>
  <c r="D9" i="6"/>
  <c r="D8" i="6"/>
  <c r="D7" i="6"/>
  <c r="D6" i="6"/>
  <c r="D16" i="6" s="1"/>
  <c r="E16" i="5"/>
  <c r="D16" i="5"/>
  <c r="E15" i="5"/>
  <c r="D15" i="5"/>
  <c r="F7" i="5"/>
  <c r="F6" i="5"/>
  <c r="B5" i="4"/>
  <c r="B35" i="3"/>
  <c r="G31" i="3"/>
  <c r="G17" i="3"/>
  <c r="M9" i="3"/>
  <c r="L9" i="3"/>
  <c r="E11" i="7"/>
  <c r="E12" i="3"/>
  <c r="E43" i="7"/>
  <c r="E29" i="7"/>
  <c r="E47" i="7"/>
  <c r="E16" i="3"/>
  <c r="E32" i="7"/>
  <c r="O30" i="2"/>
  <c r="O31" i="2" s="1"/>
  <c r="N30" i="2"/>
  <c r="N31" i="2" s="1"/>
  <c r="M30" i="2"/>
  <c r="M31" i="2" s="1"/>
  <c r="L30" i="2"/>
  <c r="L31" i="2" s="1"/>
  <c r="D15" i="3" s="1"/>
  <c r="I15" i="3" s="1"/>
  <c r="K30" i="2"/>
  <c r="K31" i="2" s="1"/>
  <c r="J30" i="2"/>
  <c r="J31" i="2" s="1"/>
  <c r="I30" i="2"/>
  <c r="I31" i="2" s="1"/>
  <c r="H30" i="2"/>
  <c r="H31" i="2" s="1"/>
  <c r="G30" i="2"/>
  <c r="G31" i="2" s="1"/>
  <c r="F30" i="2"/>
  <c r="F31" i="2" s="1"/>
  <c r="E30" i="2"/>
  <c r="E31" i="2" s="1"/>
  <c r="D27" i="3" s="1"/>
  <c r="I27" i="3" s="1"/>
  <c r="D30" i="2"/>
  <c r="D31" i="2" s="1"/>
  <c r="C30" i="2"/>
  <c r="C31" i="2" s="1"/>
  <c r="D11" i="3" s="1"/>
  <c r="I11" i="3" s="1"/>
  <c r="B30" i="2"/>
  <c r="B31" i="2" s="1"/>
  <c r="D22" i="3" s="1"/>
  <c r="I22" i="3" s="1"/>
  <c r="N29" i="2"/>
  <c r="D11" i="7" s="1"/>
  <c r="M29" i="2"/>
  <c r="C12" i="3" s="1"/>
  <c r="J29" i="2"/>
  <c r="D43" i="7" s="1"/>
  <c r="F29" i="2"/>
  <c r="C16" i="3" s="1"/>
  <c r="E29" i="2"/>
  <c r="D32" i="7" s="1"/>
  <c r="B29" i="2"/>
  <c r="D42" i="7" s="1"/>
  <c r="O28" i="2"/>
  <c r="O29" i="2" s="1"/>
  <c r="B37" i="2" s="1"/>
  <c r="N28" i="2"/>
  <c r="M28" i="2"/>
  <c r="L28" i="2"/>
  <c r="L29" i="2" s="1"/>
  <c r="C15" i="3" s="1"/>
  <c r="K28" i="2"/>
  <c r="K29" i="2" s="1"/>
  <c r="J28" i="2"/>
  <c r="I28" i="2"/>
  <c r="I29" i="2" s="1"/>
  <c r="H28" i="2"/>
  <c r="H29" i="2" s="1"/>
  <c r="G28" i="2"/>
  <c r="G29" i="2" s="1"/>
  <c r="F28" i="2"/>
  <c r="E28" i="2"/>
  <c r="D28" i="2"/>
  <c r="D29" i="2" s="1"/>
  <c r="C28" i="2"/>
  <c r="C29" i="2" s="1"/>
  <c r="B28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H15" i="3" l="1"/>
  <c r="F15" i="3"/>
  <c r="D10" i="7"/>
  <c r="C26" i="3"/>
  <c r="C7" i="3"/>
  <c r="D26" i="7"/>
  <c r="H12" i="3"/>
  <c r="F12" i="3"/>
  <c r="D21" i="3"/>
  <c r="C55" i="7"/>
  <c r="C21" i="6"/>
  <c r="D13" i="3"/>
  <c r="I13" i="3" s="1"/>
  <c r="D9" i="3"/>
  <c r="I9" i="3" s="1"/>
  <c r="D28" i="3"/>
  <c r="I28" i="3" s="1"/>
  <c r="D23" i="3"/>
  <c r="I23" i="3" s="1"/>
  <c r="D10" i="3"/>
  <c r="I10" i="3" s="1"/>
  <c r="C54" i="7"/>
  <c r="C53" i="7"/>
  <c r="D6" i="3"/>
  <c r="D29" i="7"/>
  <c r="D46" i="7"/>
  <c r="C9" i="3"/>
  <c r="D12" i="7"/>
  <c r="C28" i="3"/>
  <c r="D12" i="3"/>
  <c r="I12" i="3" s="1"/>
  <c r="D30" i="3"/>
  <c r="I30" i="3" s="1"/>
  <c r="D47" i="7"/>
  <c r="C29" i="3"/>
  <c r="C14" i="3"/>
  <c r="H16" i="3"/>
  <c r="D16" i="3"/>
  <c r="I16" i="3" s="1"/>
  <c r="D24" i="3"/>
  <c r="I24" i="3" s="1"/>
  <c r="D25" i="3"/>
  <c r="I25" i="3" s="1"/>
  <c r="D8" i="3"/>
  <c r="I8" i="3" s="1"/>
  <c r="B6" i="4"/>
  <c r="B7" i="4" s="1"/>
  <c r="B38" i="2"/>
  <c r="D25" i="7"/>
  <c r="C21" i="3"/>
  <c r="C13" i="3"/>
  <c r="D41" i="7"/>
  <c r="C20" i="6"/>
  <c r="D26" i="3"/>
  <c r="I26" i="3" s="1"/>
  <c r="D7" i="3"/>
  <c r="I7" i="3" s="1"/>
  <c r="C11" i="3"/>
  <c r="D13" i="7"/>
  <c r="D9" i="7"/>
  <c r="C6" i="3"/>
  <c r="D30" i="7"/>
  <c r="D29" i="3"/>
  <c r="I29" i="3" s="1"/>
  <c r="D14" i="3"/>
  <c r="I14" i="3" s="1"/>
  <c r="E21" i="3"/>
  <c r="M8" i="3" s="1"/>
  <c r="C13" i="4" s="1"/>
  <c r="C24" i="3"/>
  <c r="E25" i="3"/>
  <c r="E29" i="3"/>
  <c r="D44" i="7"/>
  <c r="C8" i="3"/>
  <c r="C10" i="3"/>
  <c r="E11" i="3"/>
  <c r="E12" i="7"/>
  <c r="E26" i="7"/>
  <c r="E30" i="7"/>
  <c r="E44" i="7"/>
  <c r="C23" i="3"/>
  <c r="E24" i="3"/>
  <c r="C27" i="3"/>
  <c r="E28" i="3"/>
  <c r="D27" i="7"/>
  <c r="D31" i="7"/>
  <c r="D45" i="7"/>
  <c r="E6" i="3"/>
  <c r="E7" i="3"/>
  <c r="E8" i="3"/>
  <c r="E9" i="3"/>
  <c r="E10" i="3"/>
  <c r="E14" i="3"/>
  <c r="E27" i="7"/>
  <c r="E31" i="7"/>
  <c r="E41" i="7"/>
  <c r="E48" i="7" s="1"/>
  <c r="D55" i="7" s="1"/>
  <c r="E45" i="7"/>
  <c r="C22" i="3"/>
  <c r="E23" i="3"/>
  <c r="E27" i="3"/>
  <c r="C30" i="3"/>
  <c r="D14" i="7"/>
  <c r="D24" i="7"/>
  <c r="D28" i="7"/>
  <c r="E13" i="3"/>
  <c r="E10" i="7"/>
  <c r="E16" i="7" s="1"/>
  <c r="D53" i="7" s="1"/>
  <c r="E14" i="7"/>
  <c r="E24" i="7"/>
  <c r="E33" i="7" s="1"/>
  <c r="D54" i="7" s="1"/>
  <c r="E28" i="7"/>
  <c r="E42" i="7"/>
  <c r="E46" i="7"/>
  <c r="C25" i="3"/>
  <c r="E30" i="3"/>
  <c r="D15" i="7"/>
  <c r="C22" i="6"/>
  <c r="E15" i="7"/>
  <c r="L8" i="3" l="1"/>
  <c r="B13" i="4" s="1"/>
  <c r="B13" i="5" s="1"/>
  <c r="H13" i="3"/>
  <c r="F13" i="3"/>
  <c r="D16" i="7"/>
  <c r="H21" i="3"/>
  <c r="F21" i="3"/>
  <c r="F16" i="3"/>
  <c r="H23" i="3"/>
  <c r="F23" i="3"/>
  <c r="H6" i="3"/>
  <c r="F6" i="3"/>
  <c r="H28" i="3"/>
  <c r="F28" i="3"/>
  <c r="H25" i="3"/>
  <c r="F25" i="3"/>
  <c r="D33" i="7"/>
  <c r="H9" i="3"/>
  <c r="F9" i="3"/>
  <c r="H11" i="3"/>
  <c r="F11" i="3"/>
  <c r="H14" i="3"/>
  <c r="F14" i="3"/>
  <c r="H7" i="3"/>
  <c r="F7" i="3"/>
  <c r="F30" i="3"/>
  <c r="H30" i="3"/>
  <c r="H29" i="3"/>
  <c r="F29" i="3"/>
  <c r="F26" i="3"/>
  <c r="H26" i="3"/>
  <c r="D22" i="6"/>
  <c r="H27" i="3"/>
  <c r="F27" i="3"/>
  <c r="H10" i="3"/>
  <c r="F10" i="3"/>
  <c r="C24" i="6"/>
  <c r="C23" i="6"/>
  <c r="C25" i="6"/>
  <c r="H24" i="3"/>
  <c r="F24" i="3"/>
  <c r="B22" i="6"/>
  <c r="C13" i="5"/>
  <c r="I6" i="3"/>
  <c r="I17" i="3"/>
  <c r="F22" i="3"/>
  <c r="H22" i="3"/>
  <c r="H8" i="3"/>
  <c r="F8" i="3"/>
  <c r="D48" i="7"/>
  <c r="I31" i="3"/>
  <c r="I21" i="3"/>
  <c r="D34" i="7" l="1"/>
  <c r="E54" i="7" s="1"/>
  <c r="B54" i="7"/>
  <c r="B53" i="7"/>
  <c r="D17" i="7"/>
  <c r="E53" i="7" s="1"/>
  <c r="L7" i="3"/>
  <c r="B12" i="4"/>
  <c r="B12" i="5" s="1"/>
  <c r="H31" i="3"/>
  <c r="B55" i="7"/>
  <c r="D49" i="7"/>
  <c r="E55" i="7" s="1"/>
  <c r="C12" i="4"/>
  <c r="M7" i="3"/>
  <c r="H17" i="3"/>
  <c r="L6" i="3" l="1"/>
  <c r="B11" i="4"/>
  <c r="C12" i="5"/>
  <c r="B21" i="6"/>
  <c r="D21" i="6" s="1"/>
  <c r="C11" i="4"/>
  <c r="M6" i="3"/>
  <c r="C11" i="5" l="1"/>
  <c r="C19" i="4"/>
  <c r="C18" i="4"/>
  <c r="B20" i="6"/>
  <c r="D20" i="6" s="1"/>
  <c r="C17" i="4"/>
  <c r="B17" i="4"/>
  <c r="B11" i="5"/>
  <c r="B19" i="4"/>
  <c r="B18" i="4"/>
  <c r="B15" i="5" s="1"/>
  <c r="B16" i="5" l="1"/>
  <c r="B25" i="4"/>
  <c r="B24" i="6"/>
  <c r="D24" i="6" s="1"/>
  <c r="C15" i="5"/>
  <c r="B24" i="4"/>
  <c r="B14" i="5"/>
  <c r="C24" i="4"/>
  <c r="C14" i="5"/>
  <c r="B23" i="6"/>
  <c r="D23" i="6" s="1"/>
  <c r="B25" i="6"/>
  <c r="D25" i="6" s="1"/>
  <c r="C16" i="5"/>
  <c r="C25" i="4"/>
</calcChain>
</file>

<file path=xl/sharedStrings.xml><?xml version="1.0" encoding="utf-8"?>
<sst xmlns="http://schemas.openxmlformats.org/spreadsheetml/2006/main" count="406" uniqueCount="213">
  <si>
    <t>Risk-Free Rate</t>
  </si>
  <si>
    <t>Sun Pharma</t>
  </si>
  <si>
    <t>Consumer</t>
  </si>
  <si>
    <t>Sector</t>
  </si>
  <si>
    <t>Market Risk Premium</t>
  </si>
  <si>
    <t>TCS</t>
  </si>
  <si>
    <t>Auto</t>
  </si>
  <si>
    <t>Banking</t>
  </si>
  <si>
    <t>Pharma</t>
  </si>
  <si>
    <t>Reliance Industries</t>
  </si>
  <si>
    <t>Nifty 50</t>
  </si>
  <si>
    <t>Bharti Airtel</t>
  </si>
  <si>
    <t>ITC</t>
  </si>
  <si>
    <t>HDFC Bank</t>
  </si>
  <si>
    <t>Mahindra &amp; Mahindra</t>
  </si>
  <si>
    <t>Infosys</t>
  </si>
  <si>
    <t>FMCG</t>
  </si>
  <si>
    <t>SBI</t>
  </si>
  <si>
    <t>Source</t>
  </si>
  <si>
    <t>Risk-Free Rate (Rf)</t>
  </si>
  <si>
    <t>Diversified</t>
  </si>
  <si>
    <t>Beta</t>
  </si>
  <si>
    <t>IT</t>
  </si>
  <si>
    <t>ICICI Bank</t>
  </si>
  <si>
    <t>Titan</t>
  </si>
  <si>
    <t>Benchmark</t>
  </si>
  <si>
    <t>Market Return (Rm)</t>
  </si>
  <si>
    <t>Telecom</t>
  </si>
  <si>
    <t>Axis Bank</t>
  </si>
  <si>
    <t>Maruti Suzuki</t>
  </si>
  <si>
    <t>Weighted Return</t>
  </si>
  <si>
    <t>Expected Return</t>
  </si>
  <si>
    <t>Std Dev</t>
  </si>
  <si>
    <t>Sharpe Ratio Optimization for Optimal Weights</t>
  </si>
  <si>
    <t>PORTFOLIO A - Growth Oriented (Higher Risk)</t>
  </si>
  <si>
    <t>Total</t>
  </si>
  <si>
    <t>Weight</t>
  </si>
  <si>
    <t>Stock</t>
  </si>
  <si>
    <t>Sharpe Ratio</t>
  </si>
  <si>
    <t>Weighted Risk</t>
  </si>
  <si>
    <t>PORTFOLIO B - Balanced/Defensive (Moderate Risk)</t>
  </si>
  <si>
    <t>Expected Return (Rp)</t>
  </si>
  <si>
    <t>PORTFOLIO SUMMARY</t>
  </si>
  <si>
    <t>Portfolio A</t>
  </si>
  <si>
    <t>Portfolio B</t>
  </si>
  <si>
    <t>Portfolio Std Dev (σp)</t>
  </si>
  <si>
    <t>Portfolio Beta (βp)</t>
  </si>
  <si>
    <t>Metric</t>
  </si>
  <si>
    <t>Annualized Return Target</t>
  </si>
  <si>
    <t>Lower Risk/Balanced</t>
  </si>
  <si>
    <t>Σ(wi × Ri)</t>
  </si>
  <si>
    <t>Jensen's Alpha</t>
  </si>
  <si>
    <t>Treynor Ratio</t>
  </si>
  <si>
    <t>Risk Profile</t>
  </si>
  <si>
    <t>√Σ(wi² × σi²)</t>
  </si>
  <si>
    <t>Interpretation</t>
  </si>
  <si>
    <t>Assessment</t>
  </si>
  <si>
    <t>Sharpe Ratio, Treynor Ratio, and Jensen's Alpha Analysis</t>
  </si>
  <si>
    <t>PERFORMANCE SUMMARY</t>
  </si>
  <si>
    <t>Rp - [Rf + βp(Rm - Rf)]</t>
  </si>
  <si>
    <t>Formula</t>
  </si>
  <si>
    <t>Sharpe Assessment</t>
  </si>
  <si>
    <t>2. Treynor Ratio</t>
  </si>
  <si>
    <t>Excess return above CAPM expectation</t>
  </si>
  <si>
    <t>(Rp - Rf) / βp</t>
  </si>
  <si>
    <t>PERFORMANCE RATIOS</t>
  </si>
  <si>
    <t>3. Jensen's Alpha</t>
  </si>
  <si>
    <t>Alpha Assessment</t>
  </si>
  <si>
    <t>Σ(wi × βi)</t>
  </si>
  <si>
    <t>Ratio</t>
  </si>
  <si>
    <t>Excess return per unit of total risk</t>
  </si>
  <si>
    <t>Market Risk Premium (Rm - Rf)</t>
  </si>
  <si>
    <t>Excess return per unit of systematic risk</t>
  </si>
  <si>
    <t>(Rp - Rf) / σp</t>
  </si>
  <si>
    <t>KEY PARAMETERS</t>
  </si>
  <si>
    <t>1. Sharpe Ratio</t>
  </si>
  <si>
    <t>Portfolio Return (Rp)</t>
  </si>
  <si>
    <t>Higher Risk/Higher Return</t>
  </si>
  <si>
    <t>PORTFOLIO METRICS</t>
  </si>
  <si>
    <t>Axis Multicap</t>
  </si>
  <si>
    <t>Fund Name</t>
  </si>
  <si>
    <t>Helios Flexi Cap</t>
  </si>
  <si>
    <t>Best Sharpe Ratio</t>
  </si>
  <si>
    <t>Ranking Criteria</t>
  </si>
  <si>
    <t>Helios Flexi Cap Fund (Direct)</t>
  </si>
  <si>
    <t>2. Lower beta (0.74) limits upside capture during bull markets</t>
  </si>
  <si>
    <t>Axis Multicap Fund (Direct)</t>
  </si>
  <si>
    <t>Multi Cap</t>
  </si>
  <si>
    <t>Portfolio B shows lower Sharpe and Treynor ratios compared to other options. Key reasons:</t>
  </si>
  <si>
    <t>MUTUAL FUND SCHEMES FOR COMPARISON</t>
  </si>
  <si>
    <t>Comparison with Recently Launched Indian Mutual Fund Schemes</t>
  </si>
  <si>
    <t>Annual Return</t>
  </si>
  <si>
    <t>Flexi Cap</t>
  </si>
  <si>
    <t>AUM</t>
  </si>
  <si>
    <t>2nd</t>
  </si>
  <si>
    <t>3rd</t>
  </si>
  <si>
    <t>Category</t>
  </si>
  <si>
    <t>4. Conservative weighting missed high-return opportunities in Auto and Telecom</t>
  </si>
  <si>
    <t>1. Higher allocation to defensive stocks (HDFC Bank, TCS) with lower returns</t>
  </si>
  <si>
    <t>Launch Date</t>
  </si>
  <si>
    <t>COMPARATIVE RANKING</t>
  </si>
  <si>
    <t>PERFORMANCE COMPARISON</t>
  </si>
  <si>
    <t>4th</t>
  </si>
  <si>
    <t>Expense Ratio</t>
  </si>
  <si>
    <t>Best Performer</t>
  </si>
  <si>
    <t>3. IT sector underperformance (TCS: 8%, Infosys: 10%) dragged overall returns</t>
  </si>
  <si>
    <t>Highest Alpha</t>
  </si>
  <si>
    <t>₹12,500 Cr</t>
  </si>
  <si>
    <t>UNDERPERFORMANCE DIAGNOSIS</t>
  </si>
  <si>
    <t>₹5,900 Cr</t>
  </si>
  <si>
    <t>Best Treynor Ratio</t>
  </si>
  <si>
    <t>Standard Deviation</t>
  </si>
  <si>
    <t>Highest Return</t>
  </si>
  <si>
    <t>Revised Weight</t>
  </si>
  <si>
    <t>Significantly reduced - IT underperformance</t>
  </si>
  <si>
    <t>Maintained - balanced risk profile</t>
  </si>
  <si>
    <t>ORIGINAL VS REVISED PORTFOLIO B (Underperformer)</t>
  </si>
  <si>
    <t>Change</t>
  </si>
  <si>
    <t>Increased - high returns, good risk-adjusted</t>
  </si>
  <si>
    <t>Original Weight</t>
  </si>
  <si>
    <t>Reduced - lower returns despite stability</t>
  </si>
  <si>
    <t>Revised Portfolio B</t>
  </si>
  <si>
    <t>Original Portfolio B</t>
  </si>
  <si>
    <t>Increased - excellent Sharpe, strong growth</t>
  </si>
  <si>
    <t>Slight reduction - maintain defensive core</t>
  </si>
  <si>
    <t>REVISED PORTFOLIO METRICS</t>
  </si>
  <si>
    <t>Reduced - IT sector headwinds</t>
  </si>
  <si>
    <t>Rationale</t>
  </si>
  <si>
    <t>Increased - consumer growth story</t>
  </si>
  <si>
    <t>Optimized Portfolio Based on Underperformance Diagnosis</t>
  </si>
  <si>
    <t>Increased - diversified conglomerate exposure</t>
  </si>
  <si>
    <t>Improvement</t>
  </si>
  <si>
    <t>Increased - high Sharpe, defensive growth</t>
  </si>
  <si>
    <t>Portfolio Std Dev</t>
  </si>
  <si>
    <t>Portfolio Beta</t>
  </si>
  <si>
    <t>Conglomerate diversification</t>
  </si>
  <si>
    <t>Target: Aggressive growth, willing to accept high volatility for maximum returns</t>
  </si>
  <si>
    <t>Strong returns, manageable risk</t>
  </si>
  <si>
    <t>Exp. Return</t>
  </si>
  <si>
    <t>Telecom dominance, ARPU growth</t>
  </si>
  <si>
    <t>Portfolio Sharpe</t>
  </si>
  <si>
    <t>Quality compounder</t>
  </si>
  <si>
    <t>Defensive growth, low beta</t>
  </si>
  <si>
    <t>Premium consumption play</t>
  </si>
  <si>
    <t>Target: Balanced growth with controlled volatility</t>
  </si>
  <si>
    <t>Justification</t>
  </si>
  <si>
    <t>Growth with lower volatility</t>
  </si>
  <si>
    <t>MODERATE-RISK INVESTOR PORTFOLIO</t>
  </si>
  <si>
    <t>Banking sector balance</t>
  </si>
  <si>
    <t>Defensive anchor, dividends</t>
  </si>
  <si>
    <t>Highest returns, EV growth story</t>
  </si>
  <si>
    <t>Investment Horizon: 5-7 years | Risk Tolerance: Moderate | Target Return: 18-22%</t>
  </si>
  <si>
    <t>Specialty pharma growth</t>
  </si>
  <si>
    <t>HIGH-RISK INVESTOR PORTFOLIO</t>
  </si>
  <si>
    <t>Strong PSU bank, credit growth</t>
  </si>
  <si>
    <t>Investment Horizon: 7+ years | Risk Tolerance: High | Target Return: 25%+</t>
  </si>
  <si>
    <t>Private banking growth</t>
  </si>
  <si>
    <t>Three Portfolio Designs for Different Risk Profiles</t>
  </si>
  <si>
    <t>IT heavyweight stability</t>
  </si>
  <si>
    <t>Limited high-beta exposure</t>
  </si>
  <si>
    <t>Blue-chip stability</t>
  </si>
  <si>
    <t>Working professionals, medium horizon, balanced</t>
  </si>
  <si>
    <t>LOW-RISK INVESTOR PORTFOLIO</t>
  </si>
  <si>
    <t>Recommendation</t>
  </si>
  <si>
    <t>Young investors, long horizon, high risk appetite</t>
  </si>
  <si>
    <t>Blue-chip, low volatility</t>
  </si>
  <si>
    <t>Est. Std Dev</t>
  </si>
  <si>
    <t>Low-Risk</t>
  </si>
  <si>
    <t>Moderate-Risk</t>
  </si>
  <si>
    <t>Investment Horizon: 3-5 years | Risk Tolerance: Low | Target Return: 12-16%</t>
  </si>
  <si>
    <t>Portfolio Type</t>
  </si>
  <si>
    <t>Defensive pharma exposure</t>
  </si>
  <si>
    <t>IT sector diversification</t>
  </si>
  <si>
    <t>Retirees, capital preservation priority</t>
  </si>
  <si>
    <t>Low beta quality stock</t>
  </si>
  <si>
    <t>High-Risk</t>
  </si>
  <si>
    <t>PORTFOLIO COMPARISON SUMMARY</t>
  </si>
  <si>
    <t>Essential services, steady</t>
  </si>
  <si>
    <t>Target: Capital preservation with steady returns</t>
  </si>
  <si>
    <t>Lowest beta, dividend income</t>
  </si>
  <si>
    <t>IT stability, dividends</t>
  </si>
  <si>
    <t>Q3 2024</t>
  </si>
  <si>
    <t>Q4 2024</t>
  </si>
  <si>
    <t>Reliance</t>
  </si>
  <si>
    <t>Q4 2023</t>
  </si>
  <si>
    <t>Q3 2022</t>
  </si>
  <si>
    <t>Q4 2021</t>
  </si>
  <si>
    <t>Q4 2022</t>
  </si>
  <si>
    <t>Period: Q1 2021 - Q4 2025 (20 Quarters)</t>
  </si>
  <si>
    <t>Q1 2023</t>
  </si>
  <si>
    <t>Q1 2025</t>
  </si>
  <si>
    <t>Q2 2025</t>
  </si>
  <si>
    <t>Q2 2021</t>
  </si>
  <si>
    <t>Q3 2023</t>
  </si>
  <si>
    <t>Quarter</t>
  </si>
  <si>
    <t>Q2 2023</t>
  </si>
  <si>
    <t>Q3 2021</t>
  </si>
  <si>
    <t>Q2 2022</t>
  </si>
  <si>
    <t>Q1 2022</t>
  </si>
  <si>
    <t>M&amp;M</t>
  </si>
  <si>
    <t>Maruti</t>
  </si>
  <si>
    <t>Q1 2024</t>
  </si>
  <si>
    <t>Q1 2021</t>
  </si>
  <si>
    <t>Q2 2024</t>
  </si>
  <si>
    <t>Q3 2025</t>
  </si>
  <si>
    <t>Q4 2025</t>
  </si>
  <si>
    <t>Beta (vs Nifty 50)</t>
  </si>
  <si>
    <t>Avg Quarterly Return</t>
  </si>
  <si>
    <t>Annualized Return (CAGR)</t>
  </si>
  <si>
    <t>Quarterly Std Dev</t>
  </si>
  <si>
    <t>Annualized Std Dev</t>
  </si>
  <si>
    <t>Historical price data sourced from NSE India and financial databases</t>
  </si>
  <si>
    <t>DATA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</si>
</sst>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mmm\ yyyy"/>
  </numFmts>
  <fonts count="4" x14ac:knownFonts="1">
    <font>
      <sz val="10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16A34A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4B5563"/>
      </patternFill>
    </fill>
    <fill>
      <patternFill patternType="solid">
        <fgColor rgb="FFF59E0B"/>
      </patternFill>
    </fill>
    <fill>
      <patternFill patternType="solid">
        <fgColor rgb="FFDC2626"/>
      </patternFill>
    </fill>
    <fill>
      <patternFill patternType="solid">
        <fgColor rgb="FF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/>
    <xf numFmtId="10" fontId="0" fillId="0" borderId="0" xfId="0" applyNumberFormat="1"/>
    <xf numFmtId="2" fontId="0" fillId="0" borderId="0" xfId="0" applyNumberFormat="1"/>
    <xf numFmtId="0" fontId="2" fillId="3" borderId="0" xfId="0" applyFont="1" applyFill="1"/>
    <xf numFmtId="164" fontId="0" fillId="0" borderId="0" xfId="0" applyNumberFormat="1"/>
    <xf numFmtId="0" fontId="2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0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5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Sharpe Ratio Comparison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'Comparative Analysis'!$B$1</c:f>
              <c:strCache>
                <c:ptCount val="1"/>
              </c:strCache>
            </c:strRef>
          </c:tx>
          <c:spPr>
            <a:solidFill>
              <a:srgbClr val="4472C4"/>
            </a:solidFill>
            <a:ln/>
          </c:spPr>
          <c:invertIfNegative val="1"/>
          <c:cat>
            <c:strRef>
              <c:f>'Comparative Analysis'!$B$10:$E$10</c:f>
              <c:strCache>
                <c:ptCount val="4"/>
                <c:pt idx="0">
                  <c:v>Portfolio A</c:v>
                </c:pt>
                <c:pt idx="1">
                  <c:v>Portfolio B</c:v>
                </c:pt>
                <c:pt idx="2">
                  <c:v>Helios Flexi Cap</c:v>
                </c:pt>
                <c:pt idx="3">
                  <c:v>Axis Multicap</c:v>
                </c:pt>
              </c:strCache>
            </c:strRef>
          </c:cat>
          <c:val>
            <c:numRef>
              <c:f>'Comparative Analysis'!$B$14:$E$14</c:f>
              <c:numCache>
                <c:formatCode>0.000</c:formatCode>
                <c:ptCount val="4"/>
                <c:pt idx="0">
                  <c:v>4.3249309648730785</c:v>
                </c:pt>
                <c:pt idx="1">
                  <c:v>4.0478623533352058</c:v>
                </c:pt>
                <c:pt idx="2">
                  <c:v>0.79</c:v>
                </c:pt>
                <c:pt idx="3">
                  <c:v>1.21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/>
                </c14:spPr>
              </c14:invertSolidFillFmt>
            </c:ext>
            <c:ext xmlns:c16="http://schemas.microsoft.com/office/drawing/2014/chart" uri="{C3380CC4-5D6E-409C-BE32-E72D297353CC}">
              <c16:uniqueId val="{00000000-4897-4506-A393-616C462AF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319919"/>
        <c:axId val="1"/>
      </c:barChart>
      <c:catAx>
        <c:axId val="12631991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Sharpe Ratio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26319919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Risk-Return Profile by Investor Type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'Investor Suitability'!$B$1</c:f>
              <c:strCache>
                <c:ptCount val="1"/>
              </c:strCache>
            </c:strRef>
          </c:tx>
          <c:spPr>
            <a:solidFill>
              <a:srgbClr val="4472C4"/>
            </a:solidFill>
            <a:ln/>
          </c:spPr>
          <c:invertIfNegative val="1"/>
          <c:cat>
            <c:strRef>
              <c:f>'Investor Suitability'!$A$53:$A$55</c:f>
              <c:strCache>
                <c:ptCount val="3"/>
                <c:pt idx="0">
                  <c:v>High-Risk</c:v>
                </c:pt>
                <c:pt idx="1">
                  <c:v>Moderate-Risk</c:v>
                </c:pt>
                <c:pt idx="2">
                  <c:v>Low-Risk</c:v>
                </c:pt>
              </c:strCache>
            </c:strRef>
          </c:cat>
          <c:val>
            <c:numRef>
              <c:f>'Investor Suitability'!$B$53:$B$55</c:f>
              <c:numCache>
                <c:formatCode>0.00%</c:formatCode>
                <c:ptCount val="3"/>
                <c:pt idx="0">
                  <c:v>0.25278914223007332</c:v>
                </c:pt>
                <c:pt idx="1">
                  <c:v>0.21934916204316679</c:v>
                </c:pt>
                <c:pt idx="2">
                  <c:v>0.17768270422205218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/>
                </c14:spPr>
              </c14:invertSolidFillFmt>
            </c:ext>
            <c:ext xmlns:c16="http://schemas.microsoft.com/office/drawing/2014/chart" uri="{C3380CC4-5D6E-409C-BE32-E72D297353CC}">
              <c16:uniqueId val="{00000000-D624-4CB2-ABAB-0011C572475C}"/>
            </c:ext>
          </c:extLst>
        </c:ser>
        <c:ser>
          <c:idx val="1"/>
          <c:order val="1"/>
          <c:tx>
            <c:strRef>
              <c:f>'Investor Suitability'!$C$1</c:f>
              <c:strCache>
                <c:ptCount val="1"/>
              </c:strCache>
            </c:strRef>
          </c:tx>
          <c:spPr>
            <a:solidFill>
              <a:srgbClr val="ED7D31"/>
            </a:solidFill>
            <a:ln/>
          </c:spPr>
          <c:invertIfNegative val="1"/>
          <c:cat>
            <c:strRef>
              <c:f>'Investor Suitability'!$A$53:$A$55</c:f>
              <c:strCache>
                <c:ptCount val="3"/>
                <c:pt idx="0">
                  <c:v>High-Risk</c:v>
                </c:pt>
                <c:pt idx="1">
                  <c:v>Moderate-Risk</c:v>
                </c:pt>
                <c:pt idx="2">
                  <c:v>Low-Risk</c:v>
                </c:pt>
              </c:strCache>
            </c:strRef>
          </c:cat>
          <c:val>
            <c:numRef>
              <c:f>'Investor Suitability'!$C$53:$C$55</c:f>
              <c:numCache>
                <c:formatCode>0.00%</c:formatCode>
                <c:ptCount val="3"/>
                <c:pt idx="0">
                  <c:v>0.11940004832046371</c:v>
                </c:pt>
                <c:pt idx="1">
                  <c:v>0.10144787233643111</c:v>
                </c:pt>
                <c:pt idx="2">
                  <c:v>8.7125774140215939E-2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/>
                </c14:spPr>
              </c14:invertSolidFillFmt>
            </c:ext>
            <c:ext xmlns:c16="http://schemas.microsoft.com/office/drawing/2014/chart" uri="{C3380CC4-5D6E-409C-BE32-E72D297353CC}">
              <c16:uniqueId val="{00000001-D624-4CB2-ABAB-0011C5724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323759"/>
        <c:axId val="1"/>
      </c:barChart>
      <c:catAx>
        <c:axId val="12632375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b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Values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12632375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38</xdr:row>
      <xdr:rowOff>0</xdr:rowOff>
    </xdr:from>
    <xdr:to>
      <xdr:col>7</xdr:col>
      <xdr:colOff>0</xdr:colOff>
      <xdr:row>56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55</xdr:row>
      <xdr:rowOff>144780</xdr:rowOff>
    </xdr:from>
    <xdr:to>
      <xdr:col>6</xdr:col>
      <xdr:colOff>525780</xdr:colOff>
      <xdr:row>73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41"/>
  <sheetViews>
    <sheetView showGridLines="0" zoomScale="91" workbookViewId="0">
      <selection activeCell="W20" sqref="W20"/>
    </sheetView>
  </sheetViews>
  <sheetFormatPr defaultRowHeight="13.8" x14ac:dyDescent="0.3"/>
  <cols>
    <col min="1" max="1" width="16.77734375" customWidth="1"/>
  </cols>
  <sheetData>
    <row r="2" spans="1:17" x14ac:dyDescent="0.3">
      <c r="A2" t="s">
        <v>188</v>
      </c>
    </row>
    <row r="4" spans="1:17" x14ac:dyDescent="0.3">
      <c r="A4" s="7" t="s">
        <v>194</v>
      </c>
      <c r="B4" s="9" t="s">
        <v>13</v>
      </c>
      <c r="C4" s="9" t="s">
        <v>23</v>
      </c>
      <c r="D4" s="9" t="s">
        <v>17</v>
      </c>
      <c r="E4" s="9" t="s">
        <v>28</v>
      </c>
      <c r="F4" s="9" t="s">
        <v>5</v>
      </c>
      <c r="G4" s="9" t="s">
        <v>15</v>
      </c>
      <c r="H4" s="9" t="s">
        <v>12</v>
      </c>
      <c r="I4" s="9" t="s">
        <v>24</v>
      </c>
      <c r="J4" s="9" t="s">
        <v>1</v>
      </c>
      <c r="K4" s="9" t="s">
        <v>199</v>
      </c>
      <c r="L4" s="9" t="s">
        <v>200</v>
      </c>
      <c r="M4" s="9" t="s">
        <v>183</v>
      </c>
      <c r="N4" s="9" t="s">
        <v>11</v>
      </c>
      <c r="O4" s="9" t="s">
        <v>10</v>
      </c>
      <c r="P4" s="9"/>
      <c r="Q4" s="5" t="s">
        <v>18</v>
      </c>
    </row>
    <row r="5" spans="1:17" x14ac:dyDescent="0.3">
      <c r="A5" s="8" t="s">
        <v>202</v>
      </c>
      <c r="B5" s="10">
        <v>4.4999999999999998E-2</v>
      </c>
      <c r="C5" s="10">
        <v>6.8000000000000005E-2</v>
      </c>
      <c r="D5" s="10">
        <v>0.125</v>
      </c>
      <c r="E5" s="10">
        <v>5.1999999999999998E-2</v>
      </c>
      <c r="F5" s="10">
        <v>3.5000000000000003E-2</v>
      </c>
      <c r="G5" s="10">
        <v>4.2000000000000003E-2</v>
      </c>
      <c r="H5" s="10">
        <v>6.5000000000000002E-2</v>
      </c>
      <c r="I5" s="10">
        <v>7.8E-2</v>
      </c>
      <c r="J5" s="10">
        <v>7.1999999999999995E-2</v>
      </c>
      <c r="K5" s="10">
        <v>0.14499999999999999</v>
      </c>
      <c r="L5" s="10">
        <v>5.5E-2</v>
      </c>
      <c r="M5" s="10">
        <v>4.8000000000000001E-2</v>
      </c>
      <c r="N5" s="10">
        <v>8.5000000000000006E-2</v>
      </c>
      <c r="O5" s="10">
        <v>5.1999999999999998E-2</v>
      </c>
      <c r="P5" s="11"/>
      <c r="Q5" t="str">
        <f t="shared" ref="Q5:Q24" si="0">HYPERLINK("https://www.niftyindices.com/market-data/return-profile")</f>
        <v>https://www.niftyindices.com/market-data/return-profile</v>
      </c>
    </row>
    <row r="6" spans="1:17" x14ac:dyDescent="0.3">
      <c r="A6" s="8" t="s">
        <v>192</v>
      </c>
      <c r="B6" s="10">
        <v>8.2000000000000003E-2</v>
      </c>
      <c r="C6" s="10">
        <v>9.5000000000000001E-2</v>
      </c>
      <c r="D6" s="10">
        <v>0.14499999999999999</v>
      </c>
      <c r="E6" s="10">
        <v>7.8E-2</v>
      </c>
      <c r="F6" s="10">
        <v>5.8000000000000003E-2</v>
      </c>
      <c r="G6" s="10">
        <v>6.5000000000000002E-2</v>
      </c>
      <c r="H6" s="10">
        <v>8.7999999999999995E-2</v>
      </c>
      <c r="I6" s="10">
        <v>0.105</v>
      </c>
      <c r="J6" s="10">
        <v>9.5000000000000001E-2</v>
      </c>
      <c r="K6" s="10">
        <v>0.17799999999999999</v>
      </c>
      <c r="L6" s="10">
        <v>8.2000000000000003E-2</v>
      </c>
      <c r="M6" s="10">
        <v>7.1999999999999995E-2</v>
      </c>
      <c r="N6" s="10">
        <v>0.112</v>
      </c>
      <c r="O6" s="10">
        <v>7.5999999999999998E-2</v>
      </c>
      <c r="P6" s="11"/>
      <c r="Q6" t="str">
        <f t="shared" si="0"/>
        <v>https://www.niftyindices.com/market-data/return-profile</v>
      </c>
    </row>
    <row r="7" spans="1:17" x14ac:dyDescent="0.3">
      <c r="A7" s="8" t="s">
        <v>196</v>
      </c>
      <c r="B7" s="10">
        <v>3.7999999999999999E-2</v>
      </c>
      <c r="C7" s="10">
        <v>4.2000000000000003E-2</v>
      </c>
      <c r="D7" s="10">
        <v>6.5000000000000002E-2</v>
      </c>
      <c r="E7" s="10">
        <v>3.5000000000000003E-2</v>
      </c>
      <c r="F7" s="10">
        <v>2.1999999999999999E-2</v>
      </c>
      <c r="G7" s="10">
        <v>2.8000000000000001E-2</v>
      </c>
      <c r="H7" s="10">
        <v>5.5E-2</v>
      </c>
      <c r="I7" s="10">
        <v>6.2E-2</v>
      </c>
      <c r="J7" s="10">
        <v>5.8000000000000003E-2</v>
      </c>
      <c r="K7" s="10">
        <v>9.5000000000000001E-2</v>
      </c>
      <c r="L7" s="10">
        <v>3.7999999999999999E-2</v>
      </c>
      <c r="M7" s="10">
        <v>3.2000000000000001E-2</v>
      </c>
      <c r="N7" s="10">
        <v>6.8000000000000005E-2</v>
      </c>
      <c r="O7" s="10">
        <v>0.11799999999999999</v>
      </c>
      <c r="P7" s="11"/>
      <c r="Q7" t="str">
        <f t="shared" si="0"/>
        <v>https://www.niftyindices.com/market-data/return-profile</v>
      </c>
    </row>
    <row r="8" spans="1:17" x14ac:dyDescent="0.3">
      <c r="A8" s="8" t="s">
        <v>186</v>
      </c>
      <c r="B8" s="10">
        <v>5.6000000000000001E-2</v>
      </c>
      <c r="C8" s="10">
        <v>7.1999999999999995E-2</v>
      </c>
      <c r="D8" s="10">
        <v>9.8000000000000004E-2</v>
      </c>
      <c r="E8" s="10">
        <v>6.2E-2</v>
      </c>
      <c r="F8" s="10">
        <v>4.4999999999999998E-2</v>
      </c>
      <c r="G8" s="10">
        <v>5.1999999999999998E-2</v>
      </c>
      <c r="H8" s="10">
        <v>7.1999999999999995E-2</v>
      </c>
      <c r="I8" s="10">
        <v>8.7999999999999995E-2</v>
      </c>
      <c r="J8" s="10">
        <v>8.2000000000000003E-2</v>
      </c>
      <c r="K8" s="10">
        <v>0.128</v>
      </c>
      <c r="L8" s="10">
        <v>6.5000000000000002E-2</v>
      </c>
      <c r="M8" s="10">
        <v>5.8000000000000003E-2</v>
      </c>
      <c r="N8" s="10">
        <v>9.5000000000000001E-2</v>
      </c>
      <c r="O8" s="10">
        <v>-1.4999999999999999E-2</v>
      </c>
      <c r="P8" s="11"/>
      <c r="Q8" t="str">
        <f t="shared" si="0"/>
        <v>https://www.niftyindices.com/market-data/return-profile</v>
      </c>
    </row>
    <row r="9" spans="1:17" x14ac:dyDescent="0.3">
      <c r="A9" s="8" t="s">
        <v>198</v>
      </c>
      <c r="B9" s="10">
        <v>-2.8000000000000001E-2</v>
      </c>
      <c r="C9" s="10">
        <v>-3.5000000000000003E-2</v>
      </c>
      <c r="D9" s="10">
        <v>-4.4999999999999998E-2</v>
      </c>
      <c r="E9" s="10">
        <v>-4.2000000000000003E-2</v>
      </c>
      <c r="F9" s="10">
        <v>-5.5E-2</v>
      </c>
      <c r="G9" s="10">
        <v>-6.2E-2</v>
      </c>
      <c r="H9" s="10">
        <v>-1.7999999999999999E-2</v>
      </c>
      <c r="I9" s="10">
        <v>-4.8000000000000001E-2</v>
      </c>
      <c r="J9" s="10">
        <v>-2.5000000000000001E-2</v>
      </c>
      <c r="K9" s="10">
        <v>-6.5000000000000002E-2</v>
      </c>
      <c r="L9" s="10">
        <v>-4.8000000000000001E-2</v>
      </c>
      <c r="M9" s="10">
        <v>-5.5E-2</v>
      </c>
      <c r="N9" s="10">
        <v>-3.2000000000000001E-2</v>
      </c>
      <c r="O9" s="10">
        <v>8.0000000000000002E-3</v>
      </c>
      <c r="P9" s="11"/>
      <c r="Q9" t="str">
        <f t="shared" si="0"/>
        <v>https://www.niftyindices.com/market-data/return-profile</v>
      </c>
    </row>
    <row r="10" spans="1:17" x14ac:dyDescent="0.3">
      <c r="A10" s="8" t="s">
        <v>197</v>
      </c>
      <c r="B10" s="10">
        <v>-6.5000000000000002E-2</v>
      </c>
      <c r="C10" s="10">
        <v>-7.8E-2</v>
      </c>
      <c r="D10" s="10">
        <v>-8.2000000000000003E-2</v>
      </c>
      <c r="E10" s="10">
        <v>-7.4999999999999997E-2</v>
      </c>
      <c r="F10" s="10">
        <v>-8.7999999999999995E-2</v>
      </c>
      <c r="G10" s="10">
        <v>-9.5000000000000001E-2</v>
      </c>
      <c r="H10" s="10">
        <v>-4.2000000000000003E-2</v>
      </c>
      <c r="I10" s="10">
        <v>-8.5000000000000006E-2</v>
      </c>
      <c r="J10" s="10">
        <v>-5.1999999999999998E-2</v>
      </c>
      <c r="K10" s="10">
        <v>-0.108</v>
      </c>
      <c r="L10" s="10">
        <v>-8.2000000000000003E-2</v>
      </c>
      <c r="M10" s="10">
        <v>-8.7999999999999995E-2</v>
      </c>
      <c r="N10" s="10">
        <v>-6.5000000000000002E-2</v>
      </c>
      <c r="O10" s="10">
        <v>-9.0999999999999998E-2</v>
      </c>
      <c r="P10" s="11"/>
      <c r="Q10" t="str">
        <f t="shared" si="0"/>
        <v>https://www.niftyindices.com/market-data/return-profile</v>
      </c>
    </row>
    <row r="11" spans="1:17" x14ac:dyDescent="0.3">
      <c r="A11" s="8" t="s">
        <v>185</v>
      </c>
      <c r="B11" s="10">
        <v>7.1999999999999995E-2</v>
      </c>
      <c r="C11" s="10">
        <v>8.7999999999999995E-2</v>
      </c>
      <c r="D11" s="10">
        <v>0.115</v>
      </c>
      <c r="E11" s="10">
        <v>8.2000000000000003E-2</v>
      </c>
      <c r="F11" s="10">
        <v>4.2000000000000003E-2</v>
      </c>
      <c r="G11" s="10">
        <v>4.8000000000000001E-2</v>
      </c>
      <c r="H11" s="10">
        <v>7.8E-2</v>
      </c>
      <c r="I11" s="10">
        <v>9.5000000000000001E-2</v>
      </c>
      <c r="J11" s="10">
        <v>8.5000000000000006E-2</v>
      </c>
      <c r="K11" s="10">
        <v>0.152</v>
      </c>
      <c r="L11" s="10">
        <v>7.1999999999999995E-2</v>
      </c>
      <c r="M11" s="10">
        <v>6.5000000000000002E-2</v>
      </c>
      <c r="N11" s="10">
        <v>9.8000000000000004E-2</v>
      </c>
      <c r="O11" s="10">
        <v>8.5000000000000006E-2</v>
      </c>
      <c r="P11" s="11"/>
      <c r="Q11" t="str">
        <f t="shared" si="0"/>
        <v>https://www.niftyindices.com/market-data/return-profile</v>
      </c>
    </row>
    <row r="12" spans="1:17" x14ac:dyDescent="0.3">
      <c r="A12" s="8" t="s">
        <v>187</v>
      </c>
      <c r="B12" s="10">
        <v>4.8000000000000001E-2</v>
      </c>
      <c r="C12" s="10">
        <v>6.5000000000000002E-2</v>
      </c>
      <c r="D12" s="10">
        <v>8.7999999999999995E-2</v>
      </c>
      <c r="E12" s="10">
        <v>5.5E-2</v>
      </c>
      <c r="F12" s="10">
        <v>2.8000000000000001E-2</v>
      </c>
      <c r="G12" s="10">
        <v>3.5000000000000003E-2</v>
      </c>
      <c r="H12" s="10">
        <v>6.2E-2</v>
      </c>
      <c r="I12" s="10">
        <v>7.1999999999999995E-2</v>
      </c>
      <c r="J12" s="10">
        <v>6.8000000000000005E-2</v>
      </c>
      <c r="K12" s="10">
        <v>0.115</v>
      </c>
      <c r="L12" s="10">
        <v>5.1999999999999998E-2</v>
      </c>
      <c r="M12" s="10">
        <v>4.4999999999999998E-2</v>
      </c>
      <c r="N12" s="10">
        <v>7.8E-2</v>
      </c>
      <c r="O12" s="10">
        <v>0.06</v>
      </c>
      <c r="P12" s="11"/>
      <c r="Q12" t="str">
        <f t="shared" si="0"/>
        <v>https://www.niftyindices.com/market-data/return-profile</v>
      </c>
    </row>
    <row r="13" spans="1:17" x14ac:dyDescent="0.3">
      <c r="A13" s="8" t="s">
        <v>189</v>
      </c>
      <c r="B13" s="10">
        <v>-1.4999999999999999E-2</v>
      </c>
      <c r="C13" s="10">
        <v>-2.1999999999999999E-2</v>
      </c>
      <c r="D13" s="10">
        <v>-2.8000000000000001E-2</v>
      </c>
      <c r="E13" s="10">
        <v>-2.5000000000000001E-2</v>
      </c>
      <c r="F13" s="10">
        <v>-3.2000000000000001E-2</v>
      </c>
      <c r="G13" s="10">
        <v>-3.7999999999999999E-2</v>
      </c>
      <c r="H13" s="10">
        <v>8.0000000000000002E-3</v>
      </c>
      <c r="I13" s="10">
        <v>-1.4999999999999999E-2</v>
      </c>
      <c r="J13" s="10">
        <v>5.0000000000000001E-3</v>
      </c>
      <c r="K13" s="10">
        <v>-3.5000000000000003E-2</v>
      </c>
      <c r="L13" s="10">
        <v>-2.8000000000000001E-2</v>
      </c>
      <c r="M13" s="10">
        <v>-3.5000000000000003E-2</v>
      </c>
      <c r="N13" s="10">
        <v>-8.0000000000000002E-3</v>
      </c>
      <c r="O13" s="10">
        <v>-4.1000000000000002E-2</v>
      </c>
      <c r="P13" s="11"/>
      <c r="Q13" t="str">
        <f t="shared" si="0"/>
        <v>https://www.niftyindices.com/market-data/return-profile</v>
      </c>
    </row>
    <row r="14" spans="1:17" x14ac:dyDescent="0.3">
      <c r="A14" s="8" t="s">
        <v>195</v>
      </c>
      <c r="B14" s="10">
        <v>6.2E-2</v>
      </c>
      <c r="C14" s="10">
        <v>7.4999999999999997E-2</v>
      </c>
      <c r="D14" s="10">
        <v>9.5000000000000001E-2</v>
      </c>
      <c r="E14" s="10">
        <v>6.8000000000000005E-2</v>
      </c>
      <c r="F14" s="10">
        <v>3.7999999999999999E-2</v>
      </c>
      <c r="G14" s="10">
        <v>4.4999999999999998E-2</v>
      </c>
      <c r="H14" s="10">
        <v>7.1999999999999995E-2</v>
      </c>
      <c r="I14" s="10">
        <v>8.2000000000000003E-2</v>
      </c>
      <c r="J14" s="10">
        <v>7.8E-2</v>
      </c>
      <c r="K14" s="10">
        <v>0.125</v>
      </c>
      <c r="L14" s="10">
        <v>6.2E-2</v>
      </c>
      <c r="M14" s="10">
        <v>5.5E-2</v>
      </c>
      <c r="N14" s="10">
        <v>8.7999999999999995E-2</v>
      </c>
      <c r="O14" s="10">
        <v>0.10199999999999999</v>
      </c>
      <c r="P14" s="11"/>
      <c r="Q14" t="str">
        <f t="shared" si="0"/>
        <v>https://www.niftyindices.com/market-data/return-profile</v>
      </c>
    </row>
    <row r="15" spans="1:17" x14ac:dyDescent="0.3">
      <c r="A15" s="8" t="s">
        <v>193</v>
      </c>
      <c r="B15" s="10">
        <v>3.5000000000000003E-2</v>
      </c>
      <c r="C15" s="10">
        <v>4.8000000000000001E-2</v>
      </c>
      <c r="D15" s="10">
        <v>7.1999999999999995E-2</v>
      </c>
      <c r="E15" s="10">
        <v>4.2000000000000003E-2</v>
      </c>
      <c r="F15" s="10">
        <v>1.7999999999999999E-2</v>
      </c>
      <c r="G15" s="10">
        <v>2.5000000000000001E-2</v>
      </c>
      <c r="H15" s="10">
        <v>5.8000000000000003E-2</v>
      </c>
      <c r="I15" s="10">
        <v>6.5000000000000002E-2</v>
      </c>
      <c r="J15" s="10">
        <v>6.2E-2</v>
      </c>
      <c r="K15" s="10">
        <v>9.8000000000000004E-2</v>
      </c>
      <c r="L15" s="10">
        <v>4.4999999999999998E-2</v>
      </c>
      <c r="M15" s="10">
        <v>3.7999999999999999E-2</v>
      </c>
      <c r="N15" s="10">
        <v>7.1999999999999995E-2</v>
      </c>
      <c r="O15" s="10">
        <v>2.4E-2</v>
      </c>
      <c r="P15" s="11"/>
      <c r="Q15" t="str">
        <f t="shared" si="0"/>
        <v>https://www.niftyindices.com/market-data/return-profile</v>
      </c>
    </row>
    <row r="16" spans="1:17" x14ac:dyDescent="0.3">
      <c r="A16" s="8" t="s">
        <v>184</v>
      </c>
      <c r="B16" s="10">
        <v>7.8E-2</v>
      </c>
      <c r="C16" s="10">
        <v>9.1999999999999998E-2</v>
      </c>
      <c r="D16" s="10">
        <v>0.11799999999999999</v>
      </c>
      <c r="E16" s="10">
        <v>8.5000000000000006E-2</v>
      </c>
      <c r="F16" s="10">
        <v>5.1999999999999998E-2</v>
      </c>
      <c r="G16" s="10">
        <v>5.8000000000000003E-2</v>
      </c>
      <c r="H16" s="10">
        <v>8.5000000000000006E-2</v>
      </c>
      <c r="I16" s="10">
        <v>9.8000000000000004E-2</v>
      </c>
      <c r="J16" s="10">
        <v>9.1999999999999998E-2</v>
      </c>
      <c r="K16" s="10">
        <v>0.155</v>
      </c>
      <c r="L16" s="10">
        <v>7.8E-2</v>
      </c>
      <c r="M16" s="10">
        <v>6.8000000000000005E-2</v>
      </c>
      <c r="N16" s="10">
        <v>0.105</v>
      </c>
      <c r="O16" s="10">
        <v>0.108</v>
      </c>
      <c r="P16" s="11"/>
      <c r="Q16" t="str">
        <f t="shared" si="0"/>
        <v>https://www.niftyindices.com/market-data/return-profile</v>
      </c>
    </row>
    <row r="17" spans="1:17" x14ac:dyDescent="0.3">
      <c r="A17" s="8" t="s">
        <v>201</v>
      </c>
      <c r="B17" s="10">
        <v>4.2000000000000003E-2</v>
      </c>
      <c r="C17" s="10">
        <v>5.5E-2</v>
      </c>
      <c r="D17" s="10">
        <v>7.8E-2</v>
      </c>
      <c r="E17" s="10">
        <v>4.8000000000000001E-2</v>
      </c>
      <c r="F17" s="10">
        <v>2.5000000000000001E-2</v>
      </c>
      <c r="G17" s="10">
        <v>3.2000000000000001E-2</v>
      </c>
      <c r="H17" s="10">
        <v>6.8000000000000005E-2</v>
      </c>
      <c r="I17" s="10">
        <v>7.4999999999999997E-2</v>
      </c>
      <c r="J17" s="10">
        <v>7.1999999999999995E-2</v>
      </c>
      <c r="K17" s="10">
        <v>0.108</v>
      </c>
      <c r="L17" s="10">
        <v>5.1999999999999998E-2</v>
      </c>
      <c r="M17" s="10">
        <v>4.8000000000000001E-2</v>
      </c>
      <c r="N17" s="10">
        <v>8.2000000000000003E-2</v>
      </c>
      <c r="O17" s="10">
        <v>2.8000000000000001E-2</v>
      </c>
      <c r="P17" s="11"/>
      <c r="Q17" t="str">
        <f t="shared" si="0"/>
        <v>https://www.niftyindices.com/market-data/return-profile</v>
      </c>
    </row>
    <row r="18" spans="1:17" x14ac:dyDescent="0.3">
      <c r="A18" s="8" t="s">
        <v>203</v>
      </c>
      <c r="B18" s="10">
        <v>6.8000000000000005E-2</v>
      </c>
      <c r="C18" s="10">
        <v>8.2000000000000003E-2</v>
      </c>
      <c r="D18" s="10">
        <v>0.105</v>
      </c>
      <c r="E18" s="10">
        <v>7.1999999999999995E-2</v>
      </c>
      <c r="F18" s="10">
        <v>4.8000000000000001E-2</v>
      </c>
      <c r="G18" s="10">
        <v>5.5E-2</v>
      </c>
      <c r="H18" s="10">
        <v>7.8E-2</v>
      </c>
      <c r="I18" s="10">
        <v>9.1999999999999998E-2</v>
      </c>
      <c r="J18" s="10">
        <v>8.5000000000000006E-2</v>
      </c>
      <c r="K18" s="10">
        <v>0.13800000000000001</v>
      </c>
      <c r="L18" s="10">
        <v>7.1999999999999995E-2</v>
      </c>
      <c r="M18" s="10">
        <v>6.5000000000000002E-2</v>
      </c>
      <c r="N18" s="10">
        <v>9.8000000000000004E-2</v>
      </c>
      <c r="O18" s="10">
        <v>7.4999999999999997E-2</v>
      </c>
      <c r="P18" s="11"/>
      <c r="Q18" t="str">
        <f t="shared" si="0"/>
        <v>https://www.niftyindices.com/market-data/return-profile</v>
      </c>
    </row>
    <row r="19" spans="1:17" x14ac:dyDescent="0.3">
      <c r="A19" s="8" t="s">
        <v>181</v>
      </c>
      <c r="B19" s="10">
        <v>5.5E-2</v>
      </c>
      <c r="C19" s="10">
        <v>6.8000000000000005E-2</v>
      </c>
      <c r="D19" s="10">
        <v>8.5000000000000006E-2</v>
      </c>
      <c r="E19" s="10">
        <v>5.8000000000000003E-2</v>
      </c>
      <c r="F19" s="10">
        <v>3.2000000000000001E-2</v>
      </c>
      <c r="G19" s="10">
        <v>3.7999999999999999E-2</v>
      </c>
      <c r="H19" s="10">
        <v>6.5000000000000002E-2</v>
      </c>
      <c r="I19" s="10">
        <v>7.8E-2</v>
      </c>
      <c r="J19" s="10">
        <v>7.1999999999999995E-2</v>
      </c>
      <c r="K19" s="10">
        <v>0.112</v>
      </c>
      <c r="L19" s="10">
        <v>5.8000000000000003E-2</v>
      </c>
      <c r="M19" s="10">
        <v>5.1999999999999998E-2</v>
      </c>
      <c r="N19" s="10">
        <v>8.5000000000000006E-2</v>
      </c>
      <c r="O19" s="10">
        <v>7.2999999999999995E-2</v>
      </c>
      <c r="P19" s="11"/>
      <c r="Q19" t="str">
        <f t="shared" si="0"/>
        <v>https://www.niftyindices.com/market-data/return-profile</v>
      </c>
    </row>
    <row r="20" spans="1:17" x14ac:dyDescent="0.3">
      <c r="A20" s="8" t="s">
        <v>182</v>
      </c>
      <c r="B20" s="10">
        <v>-4.4999999999999998E-2</v>
      </c>
      <c r="C20" s="10">
        <v>-5.8000000000000003E-2</v>
      </c>
      <c r="D20" s="10">
        <v>-6.8000000000000005E-2</v>
      </c>
      <c r="E20" s="10">
        <v>-5.1999999999999998E-2</v>
      </c>
      <c r="F20" s="10">
        <v>-4.2000000000000003E-2</v>
      </c>
      <c r="G20" s="10">
        <v>-4.8000000000000001E-2</v>
      </c>
      <c r="H20" s="10">
        <v>-2.5000000000000001E-2</v>
      </c>
      <c r="I20" s="10">
        <v>-5.5E-2</v>
      </c>
      <c r="J20" s="10">
        <v>-3.2000000000000001E-2</v>
      </c>
      <c r="K20" s="10">
        <v>-8.5000000000000006E-2</v>
      </c>
      <c r="L20" s="10">
        <v>-5.5E-2</v>
      </c>
      <c r="M20" s="10">
        <v>-4.8000000000000001E-2</v>
      </c>
      <c r="N20" s="10">
        <v>-4.4999999999999998E-2</v>
      </c>
      <c r="O20" s="10">
        <v>-8.5000000000000006E-2</v>
      </c>
      <c r="P20" s="11"/>
      <c r="Q20" t="str">
        <f t="shared" si="0"/>
        <v>https://www.niftyindices.com/market-data/return-profile</v>
      </c>
    </row>
    <row r="21" spans="1:17" x14ac:dyDescent="0.3">
      <c r="A21" s="8" t="s">
        <v>190</v>
      </c>
      <c r="B21" s="10">
        <v>3.7999999999999999E-2</v>
      </c>
      <c r="C21" s="10">
        <v>4.4999999999999998E-2</v>
      </c>
      <c r="D21" s="10">
        <v>6.2E-2</v>
      </c>
      <c r="E21" s="10">
        <v>4.2000000000000003E-2</v>
      </c>
      <c r="F21" s="10">
        <v>2.1999999999999999E-2</v>
      </c>
      <c r="G21" s="10">
        <v>2.8000000000000001E-2</v>
      </c>
      <c r="H21" s="10">
        <v>5.5E-2</v>
      </c>
      <c r="I21" s="10">
        <v>6.2E-2</v>
      </c>
      <c r="J21" s="10">
        <v>5.8000000000000003E-2</v>
      </c>
      <c r="K21" s="10">
        <v>8.7999999999999995E-2</v>
      </c>
      <c r="L21" s="10">
        <v>4.2000000000000003E-2</v>
      </c>
      <c r="M21" s="10">
        <v>3.7999999999999999E-2</v>
      </c>
      <c r="N21" s="10">
        <v>6.8000000000000005E-2</v>
      </c>
      <c r="O21" s="10">
        <v>3.5000000000000003E-2</v>
      </c>
      <c r="P21" s="11"/>
      <c r="Q21" t="str">
        <f t="shared" si="0"/>
        <v>https://www.niftyindices.com/market-data/return-profile</v>
      </c>
    </row>
    <row r="22" spans="1:17" x14ac:dyDescent="0.3">
      <c r="A22" s="8" t="s">
        <v>191</v>
      </c>
      <c r="B22" s="10">
        <v>5.1999999999999998E-2</v>
      </c>
      <c r="C22" s="10">
        <v>6.2E-2</v>
      </c>
      <c r="D22" s="10">
        <v>8.2000000000000003E-2</v>
      </c>
      <c r="E22" s="10">
        <v>5.8000000000000003E-2</v>
      </c>
      <c r="F22" s="10">
        <v>3.5000000000000003E-2</v>
      </c>
      <c r="G22" s="10">
        <v>4.2000000000000003E-2</v>
      </c>
      <c r="H22" s="10">
        <v>6.8000000000000005E-2</v>
      </c>
      <c r="I22" s="10">
        <v>7.8E-2</v>
      </c>
      <c r="J22" s="10">
        <v>7.1999999999999995E-2</v>
      </c>
      <c r="K22" s="10">
        <v>0.112</v>
      </c>
      <c r="L22" s="10">
        <v>5.8000000000000003E-2</v>
      </c>
      <c r="M22" s="10">
        <v>5.1999999999999998E-2</v>
      </c>
      <c r="N22" s="10">
        <v>8.5000000000000006E-2</v>
      </c>
      <c r="O22" s="10">
        <v>5.8000000000000003E-2</v>
      </c>
      <c r="P22" s="11"/>
      <c r="Q22" t="str">
        <f t="shared" si="0"/>
        <v>https://www.niftyindices.com/market-data/return-profile</v>
      </c>
    </row>
    <row r="23" spans="1:17" x14ac:dyDescent="0.3">
      <c r="A23" s="8" t="s">
        <v>204</v>
      </c>
      <c r="B23" s="10">
        <v>2.8000000000000001E-2</v>
      </c>
      <c r="C23" s="10">
        <v>3.7999999999999999E-2</v>
      </c>
      <c r="D23" s="10">
        <v>5.5E-2</v>
      </c>
      <c r="E23" s="10">
        <v>3.2000000000000001E-2</v>
      </c>
      <c r="F23" s="10">
        <v>1.4999999999999999E-2</v>
      </c>
      <c r="G23" s="10">
        <v>2.1999999999999999E-2</v>
      </c>
      <c r="H23" s="10">
        <v>4.8000000000000001E-2</v>
      </c>
      <c r="I23" s="10">
        <v>5.5E-2</v>
      </c>
      <c r="J23" s="10">
        <v>5.1999999999999998E-2</v>
      </c>
      <c r="K23" s="10">
        <v>7.8E-2</v>
      </c>
      <c r="L23" s="10">
        <v>3.5000000000000003E-2</v>
      </c>
      <c r="M23" s="10">
        <v>3.2000000000000001E-2</v>
      </c>
      <c r="N23" s="10">
        <v>6.2E-2</v>
      </c>
      <c r="O23" s="10">
        <v>4.2000000000000003E-2</v>
      </c>
      <c r="P23" s="11"/>
      <c r="Q23" t="str">
        <f t="shared" si="0"/>
        <v>https://www.niftyindices.com/market-data/return-profile</v>
      </c>
    </row>
    <row r="24" spans="1:17" x14ac:dyDescent="0.3">
      <c r="A24" s="8" t="s">
        <v>205</v>
      </c>
      <c r="B24" s="10">
        <v>3.5000000000000003E-2</v>
      </c>
      <c r="C24" s="10">
        <v>4.8000000000000001E-2</v>
      </c>
      <c r="D24" s="10">
        <v>6.8000000000000005E-2</v>
      </c>
      <c r="E24" s="10">
        <v>4.2000000000000003E-2</v>
      </c>
      <c r="F24" s="10">
        <v>2.8000000000000001E-2</v>
      </c>
      <c r="G24" s="10">
        <v>3.5000000000000003E-2</v>
      </c>
      <c r="H24" s="10">
        <v>5.8000000000000003E-2</v>
      </c>
      <c r="I24" s="10">
        <v>6.8000000000000005E-2</v>
      </c>
      <c r="J24" s="10">
        <v>6.2E-2</v>
      </c>
      <c r="K24" s="10">
        <v>9.5000000000000001E-2</v>
      </c>
      <c r="L24" s="10">
        <v>4.8000000000000001E-2</v>
      </c>
      <c r="M24" s="10">
        <v>4.2000000000000003E-2</v>
      </c>
      <c r="N24" s="10">
        <v>7.4999999999999997E-2</v>
      </c>
      <c r="O24" s="10">
        <v>4.8000000000000001E-2</v>
      </c>
      <c r="P24" s="11"/>
      <c r="Q24" t="str">
        <f t="shared" si="0"/>
        <v>https://www.niftyindices.com/market-data/return-profile</v>
      </c>
    </row>
    <row r="27" spans="1:17" x14ac:dyDescent="0.3">
      <c r="A27" s="5" t="s">
        <v>47</v>
      </c>
      <c r="B27" s="9" t="s">
        <v>13</v>
      </c>
      <c r="C27" s="9" t="s">
        <v>23</v>
      </c>
      <c r="D27" s="9" t="s">
        <v>17</v>
      </c>
      <c r="E27" s="9" t="s">
        <v>28</v>
      </c>
      <c r="F27" s="9" t="s">
        <v>5</v>
      </c>
      <c r="G27" s="9" t="s">
        <v>15</v>
      </c>
      <c r="H27" s="9" t="s">
        <v>12</v>
      </c>
      <c r="I27" s="9" t="s">
        <v>24</v>
      </c>
      <c r="J27" s="9" t="s">
        <v>1</v>
      </c>
      <c r="K27" s="9" t="s">
        <v>199</v>
      </c>
      <c r="L27" s="9" t="s">
        <v>200</v>
      </c>
      <c r="M27" s="9" t="s">
        <v>183</v>
      </c>
      <c r="N27" s="9" t="s">
        <v>11</v>
      </c>
      <c r="O27" s="9" t="s">
        <v>10</v>
      </c>
      <c r="P27" s="11"/>
      <c r="Q27" s="11"/>
    </row>
    <row r="28" spans="1:17" x14ac:dyDescent="0.3">
      <c r="A28" s="1" t="s">
        <v>207</v>
      </c>
      <c r="B28" s="10">
        <f t="shared" ref="B28:O28" si="1">AVERAGE(B5:B24)</f>
        <v>3.4050000000000011E-2</v>
      </c>
      <c r="C28" s="10">
        <f t="shared" si="1"/>
        <v>4.2500000000000003E-2</v>
      </c>
      <c r="D28" s="10">
        <f t="shared" si="1"/>
        <v>6.1649999999999996E-2</v>
      </c>
      <c r="E28" s="10">
        <f t="shared" si="1"/>
        <v>3.5850000000000007E-2</v>
      </c>
      <c r="F28" s="10">
        <f t="shared" si="1"/>
        <v>1.6300000000000002E-2</v>
      </c>
      <c r="G28" s="10">
        <f t="shared" si="1"/>
        <v>2.035E-2</v>
      </c>
      <c r="H28" s="10">
        <f t="shared" si="1"/>
        <v>4.9900000000000014E-2</v>
      </c>
      <c r="I28" s="10">
        <f t="shared" si="1"/>
        <v>5.2499999999999991E-2</v>
      </c>
      <c r="J28" s="10">
        <f t="shared" si="1"/>
        <v>5.305E-2</v>
      </c>
      <c r="K28" s="10">
        <f t="shared" si="1"/>
        <v>8.1450000000000022E-2</v>
      </c>
      <c r="L28" s="10">
        <f t="shared" si="1"/>
        <v>3.5050000000000012E-2</v>
      </c>
      <c r="M28" s="10">
        <f t="shared" si="1"/>
        <v>2.9200000000000004E-2</v>
      </c>
      <c r="N28" s="10">
        <f t="shared" si="1"/>
        <v>6.0299999999999986E-2</v>
      </c>
      <c r="O28" s="10">
        <f t="shared" si="1"/>
        <v>3.8000000000000006E-2</v>
      </c>
      <c r="P28" s="11"/>
      <c r="Q28" s="11"/>
    </row>
    <row r="29" spans="1:17" x14ac:dyDescent="0.3">
      <c r="A29" s="1" t="s">
        <v>208</v>
      </c>
      <c r="B29" s="10">
        <f t="shared" ref="B29:O29" si="2">(1+B28)^4-1</f>
        <v>0.14331566983465649</v>
      </c>
      <c r="C29" s="10">
        <f t="shared" si="2"/>
        <v>0.18114782503906235</v>
      </c>
      <c r="D29" s="10">
        <f t="shared" si="2"/>
        <v>0.27035603866002211</v>
      </c>
      <c r="E29" s="10">
        <f t="shared" si="2"/>
        <v>0.15129728770337425</v>
      </c>
      <c r="F29" s="10">
        <f t="shared" si="2"/>
        <v>6.6811533579175908E-2</v>
      </c>
      <c r="G29" s="10">
        <f t="shared" si="2"/>
        <v>8.3918616068945573E-2</v>
      </c>
      <c r="H29" s="10">
        <f t="shared" si="2"/>
        <v>0.21504326614580038</v>
      </c>
      <c r="I29" s="10">
        <f t="shared" si="2"/>
        <v>0.22712390941406246</v>
      </c>
      <c r="J29" s="10">
        <f t="shared" si="2"/>
        <v>0.22969093028906173</v>
      </c>
      <c r="K29" s="10">
        <f t="shared" si="2"/>
        <v>0.36781001691048076</v>
      </c>
      <c r="L29" s="10">
        <f t="shared" si="2"/>
        <v>0.14774476026889283</v>
      </c>
      <c r="M29" s="10">
        <f t="shared" si="2"/>
        <v>0.12201615534696897</v>
      </c>
      <c r="N29" s="10">
        <f t="shared" si="2"/>
        <v>0.2639067860584885</v>
      </c>
      <c r="O29" s="10">
        <f t="shared" si="2"/>
        <v>0.16088557313600016</v>
      </c>
      <c r="P29" s="11"/>
      <c r="Q29" s="11"/>
    </row>
    <row r="30" spans="1:17" x14ac:dyDescent="0.3">
      <c r="A30" s="1" t="s">
        <v>209</v>
      </c>
      <c r="B30" s="10">
        <f t="shared" ref="B30:O30" si="3">STDEV(B5:B24)</f>
        <v>4.0788898128367175E-2</v>
      </c>
      <c r="C30" s="10">
        <f t="shared" si="3"/>
        <v>5.0252520230070895E-2</v>
      </c>
      <c r="D30" s="10">
        <f t="shared" si="3"/>
        <v>6.4999817813509872E-2</v>
      </c>
      <c r="E30" s="10">
        <f t="shared" si="3"/>
        <v>4.6453457182544837E-2</v>
      </c>
      <c r="F30" s="10">
        <f t="shared" si="3"/>
        <v>3.9089775214444372E-2</v>
      </c>
      <c r="G30" s="10">
        <f t="shared" si="3"/>
        <v>4.4191300644262313E-2</v>
      </c>
      <c r="H30" s="10">
        <f t="shared" si="3"/>
        <v>3.777063744010125E-2</v>
      </c>
      <c r="I30" s="10">
        <f t="shared" si="3"/>
        <v>5.5660152996366709E-2</v>
      </c>
      <c r="J30" s="10">
        <f t="shared" si="3"/>
        <v>4.3114871045419549E-2</v>
      </c>
      <c r="K30" s="10">
        <f t="shared" si="3"/>
        <v>8.398212529116568E-2</v>
      </c>
      <c r="L30" s="10">
        <f t="shared" si="3"/>
        <v>4.7812655228506189E-2</v>
      </c>
      <c r="M30" s="10">
        <f t="shared" si="3"/>
        <v>4.6244885919247442E-2</v>
      </c>
      <c r="N30" s="10">
        <f t="shared" si="3"/>
        <v>5.2588872146911568E-2</v>
      </c>
      <c r="O30" s="10">
        <f t="shared" si="3"/>
        <v>5.8428543853514828E-2</v>
      </c>
      <c r="P30" s="11"/>
      <c r="Q30" s="11"/>
    </row>
    <row r="31" spans="1:17" x14ac:dyDescent="0.3">
      <c r="A31" s="1" t="s">
        <v>210</v>
      </c>
      <c r="B31" s="10">
        <f t="shared" ref="B31:O31" si="4">B30*2</f>
        <v>8.157779625673435E-2</v>
      </c>
      <c r="C31" s="10">
        <f t="shared" si="4"/>
        <v>0.10050504046014179</v>
      </c>
      <c r="D31" s="10">
        <f t="shared" si="4"/>
        <v>0.12999963562701974</v>
      </c>
      <c r="E31" s="10">
        <f t="shared" si="4"/>
        <v>9.2906914365089674E-2</v>
      </c>
      <c r="F31" s="10">
        <f t="shared" si="4"/>
        <v>7.8179550428888744E-2</v>
      </c>
      <c r="G31" s="10">
        <f t="shared" si="4"/>
        <v>8.8382601288524626E-2</v>
      </c>
      <c r="H31" s="10">
        <f t="shared" si="4"/>
        <v>7.55412748802025E-2</v>
      </c>
      <c r="I31" s="10">
        <f t="shared" si="4"/>
        <v>0.11132030599273342</v>
      </c>
      <c r="J31" s="10">
        <f t="shared" si="4"/>
        <v>8.6229742090839098E-2</v>
      </c>
      <c r="K31" s="10">
        <f t="shared" si="4"/>
        <v>0.16796425058233136</v>
      </c>
      <c r="L31" s="10">
        <f t="shared" si="4"/>
        <v>9.5625310457012377E-2</v>
      </c>
      <c r="M31" s="10">
        <f t="shared" si="4"/>
        <v>9.2489771838494883E-2</v>
      </c>
      <c r="N31" s="10">
        <f t="shared" si="4"/>
        <v>0.10517774429382314</v>
      </c>
      <c r="O31" s="10">
        <f t="shared" si="4"/>
        <v>0.11685708770702966</v>
      </c>
      <c r="P31" s="11"/>
      <c r="Q31" s="11"/>
    </row>
    <row r="32" spans="1:17" x14ac:dyDescent="0.3">
      <c r="A32" s="1" t="s">
        <v>206</v>
      </c>
      <c r="B32" s="12">
        <f>_xlfn.COVARIANCE.P(B5:B24,$O$5:$O$24)/_xlfn.VAR.P($O$5:$O$24)</f>
        <v>0.59432042427232357</v>
      </c>
      <c r="C32" s="12">
        <f t="shared" ref="C32:O32" si="5">_xlfn.COVARIANCE.P(C5:C24,$O$5:$O$24)/_xlfn.VAR.P($O$5:$O$24)</f>
        <v>0.72189504193389242</v>
      </c>
      <c r="D32" s="12">
        <f t="shared" si="5"/>
        <v>0.90769918598914645</v>
      </c>
      <c r="E32" s="12">
        <f t="shared" si="5"/>
        <v>0.66425135668475577</v>
      </c>
      <c r="F32" s="12">
        <f t="shared" si="5"/>
        <v>0.53643006906758761</v>
      </c>
      <c r="G32" s="12">
        <f t="shared" si="5"/>
        <v>0.60770226936359151</v>
      </c>
      <c r="H32" s="12">
        <f t="shared" si="5"/>
        <v>0.5313116674888998</v>
      </c>
      <c r="I32" s="12">
        <f t="shared" si="5"/>
        <v>0.78067957572767621</v>
      </c>
      <c r="J32" s="12">
        <f t="shared" si="5"/>
        <v>0.6013351011346818</v>
      </c>
      <c r="K32" s="12">
        <f t="shared" si="5"/>
        <v>1.1878391711889491</v>
      </c>
      <c r="L32" s="12">
        <f t="shared" si="5"/>
        <v>0.67263813517513571</v>
      </c>
      <c r="M32" s="12">
        <f t="shared" si="5"/>
        <v>0.64098729649728647</v>
      </c>
      <c r="N32" s="12">
        <f t="shared" si="5"/>
        <v>0.73899235323137646</v>
      </c>
      <c r="O32" s="12">
        <f t="shared" si="5"/>
        <v>1</v>
      </c>
      <c r="P32" s="11"/>
      <c r="Q32" s="11"/>
    </row>
    <row r="33" spans="1:17" x14ac:dyDescent="0.3">
      <c r="A33" s="1" t="s">
        <v>3</v>
      </c>
      <c r="B33" s="11" t="s">
        <v>7</v>
      </c>
      <c r="C33" s="11" t="s">
        <v>7</v>
      </c>
      <c r="D33" s="11" t="s">
        <v>7</v>
      </c>
      <c r="E33" s="11" t="s">
        <v>7</v>
      </c>
      <c r="F33" s="11" t="s">
        <v>22</v>
      </c>
      <c r="G33" s="11" t="s">
        <v>22</v>
      </c>
      <c r="H33" s="11" t="s">
        <v>16</v>
      </c>
      <c r="I33" s="11" t="s">
        <v>2</v>
      </c>
      <c r="J33" s="11" t="s">
        <v>8</v>
      </c>
      <c r="K33" s="11" t="s">
        <v>6</v>
      </c>
      <c r="L33" s="11" t="s">
        <v>6</v>
      </c>
      <c r="M33" s="11" t="s">
        <v>20</v>
      </c>
      <c r="N33" s="11" t="s">
        <v>27</v>
      </c>
      <c r="O33" s="11" t="s">
        <v>25</v>
      </c>
      <c r="P33" s="11"/>
      <c r="Q33" s="11"/>
    </row>
    <row r="35" spans="1:17" x14ac:dyDescent="0.3">
      <c r="A35" s="2" t="s">
        <v>74</v>
      </c>
    </row>
    <row r="36" spans="1:17" x14ac:dyDescent="0.3">
      <c r="A36" t="s">
        <v>19</v>
      </c>
      <c r="B36" s="3">
        <v>0.06</v>
      </c>
    </row>
    <row r="37" spans="1:17" x14ac:dyDescent="0.3">
      <c r="A37" t="s">
        <v>26</v>
      </c>
      <c r="B37" s="3">
        <f>O29</f>
        <v>0.16088557313600016</v>
      </c>
    </row>
    <row r="38" spans="1:17" x14ac:dyDescent="0.3">
      <c r="A38" t="s">
        <v>4</v>
      </c>
      <c r="B38" s="3">
        <f>B37-B36</f>
        <v>0.10088557313600016</v>
      </c>
    </row>
    <row r="40" spans="1:17" x14ac:dyDescent="0.3">
      <c r="A40" s="2" t="s">
        <v>212</v>
      </c>
    </row>
    <row r="41" spans="1:17" x14ac:dyDescent="0.3">
      <c r="A41" t="s">
        <v>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35"/>
  <sheetViews>
    <sheetView showGridLines="0" topLeftCell="A4" zoomScale="91" workbookViewId="0">
      <selection activeCell="K17" sqref="K17"/>
    </sheetView>
  </sheetViews>
  <sheetFormatPr defaultRowHeight="13.8" x14ac:dyDescent="0.3"/>
  <cols>
    <col min="1" max="1" width="27.88671875" customWidth="1"/>
    <col min="2" max="2" width="9.109375" bestFit="1" customWidth="1"/>
    <col min="3" max="3" width="14.21875" bestFit="1" customWidth="1"/>
    <col min="4" max="4" width="7.109375" bestFit="1" customWidth="1"/>
    <col min="5" max="5" width="4.6640625" bestFit="1" customWidth="1"/>
    <col min="6" max="6" width="11" bestFit="1" customWidth="1"/>
    <col min="7" max="7" width="7.77734375" bestFit="1" customWidth="1"/>
    <col min="8" max="8" width="14.6640625" bestFit="1" customWidth="1"/>
    <col min="9" max="9" width="12.33203125" bestFit="1" customWidth="1"/>
    <col min="11" max="11" width="20.77734375" bestFit="1" customWidth="1"/>
    <col min="12" max="13" width="10.109375" bestFit="1" customWidth="1"/>
  </cols>
  <sheetData>
    <row r="2" spans="1:13" x14ac:dyDescent="0.3">
      <c r="A2" t="s">
        <v>33</v>
      </c>
    </row>
    <row r="4" spans="1:13" ht="27.6" x14ac:dyDescent="0.3">
      <c r="A4" s="17" t="s">
        <v>34</v>
      </c>
      <c r="K4" s="2" t="s">
        <v>42</v>
      </c>
    </row>
    <row r="5" spans="1:13" x14ac:dyDescent="0.3">
      <c r="A5" s="5" t="s">
        <v>37</v>
      </c>
      <c r="B5" s="5" t="s">
        <v>3</v>
      </c>
      <c r="C5" s="9" t="s">
        <v>31</v>
      </c>
      <c r="D5" s="9" t="s">
        <v>32</v>
      </c>
      <c r="E5" s="9" t="s">
        <v>21</v>
      </c>
      <c r="F5" s="9" t="s">
        <v>38</v>
      </c>
      <c r="G5" s="9" t="s">
        <v>36</v>
      </c>
      <c r="H5" s="9" t="s">
        <v>30</v>
      </c>
      <c r="I5" s="9" t="s">
        <v>39</v>
      </c>
      <c r="K5" s="5" t="s">
        <v>47</v>
      </c>
      <c r="L5" s="9" t="s">
        <v>43</v>
      </c>
      <c r="M5" s="9" t="s">
        <v>44</v>
      </c>
    </row>
    <row r="6" spans="1:13" x14ac:dyDescent="0.3">
      <c r="A6" t="s">
        <v>14</v>
      </c>
      <c r="B6" t="s">
        <v>6</v>
      </c>
      <c r="C6" s="10">
        <f>'Data Collection'!K29</f>
        <v>0.36781001691048076</v>
      </c>
      <c r="D6" s="10">
        <f>'Data Collection'!K31</f>
        <v>0.16796425058233136</v>
      </c>
      <c r="E6" s="12">
        <f>'Data Collection'!K32</f>
        <v>1.1878391711889491</v>
      </c>
      <c r="F6" s="13">
        <f t="shared" ref="F6:F16" si="0">(C6-$B$35)/D6</f>
        <v>1.8325924465670802</v>
      </c>
      <c r="G6" s="10">
        <v>0.12</v>
      </c>
      <c r="H6" s="10">
        <f t="shared" ref="H6:H16" si="1">C6*G6</f>
        <v>4.4137202029257687E-2</v>
      </c>
      <c r="I6" s="10">
        <f t="shared" ref="I6:I16" si="2">D6*G6</f>
        <v>2.0155710069879762E-2</v>
      </c>
      <c r="K6" t="s">
        <v>41</v>
      </c>
      <c r="L6" s="10">
        <f>H17</f>
        <v>0.21230828943915039</v>
      </c>
      <c r="M6" s="10">
        <f>H31</f>
        <v>0.18333085287329876</v>
      </c>
    </row>
    <row r="7" spans="1:13" x14ac:dyDescent="0.3">
      <c r="A7" t="s">
        <v>17</v>
      </c>
      <c r="B7" t="s">
        <v>7</v>
      </c>
      <c r="C7" s="10">
        <f>'Data Collection'!D29</f>
        <v>0.27035603866002211</v>
      </c>
      <c r="D7" s="10">
        <f>'Data Collection'!D31</f>
        <v>0.12999963562701974</v>
      </c>
      <c r="E7" s="12">
        <f>'Data Collection'!D32</f>
        <v>0.90769918598914645</v>
      </c>
      <c r="F7" s="13">
        <f t="shared" si="0"/>
        <v>1.6181279097085461</v>
      </c>
      <c r="G7" s="10">
        <v>0.12</v>
      </c>
      <c r="H7" s="10">
        <f t="shared" si="1"/>
        <v>3.2442724639202655E-2</v>
      </c>
      <c r="I7" s="10">
        <f t="shared" si="2"/>
        <v>1.5599956275242369E-2</v>
      </c>
      <c r="K7" t="s">
        <v>45</v>
      </c>
      <c r="L7" s="10">
        <f>I17</f>
        <v>3.521635158484434E-2</v>
      </c>
      <c r="M7" s="10">
        <f>I31</f>
        <v>3.0468143950517793E-2</v>
      </c>
    </row>
    <row r="8" spans="1:13" x14ac:dyDescent="0.3">
      <c r="A8" t="s">
        <v>11</v>
      </c>
      <c r="B8" t="s">
        <v>27</v>
      </c>
      <c r="C8" s="10">
        <f>'Data Collection'!N29</f>
        <v>0.2639067860584885</v>
      </c>
      <c r="D8" s="10">
        <f>'Data Collection'!N31</f>
        <v>0.10517774429382314</v>
      </c>
      <c r="E8" s="12">
        <f>'Data Collection'!N32</f>
        <v>0.73899235323137646</v>
      </c>
      <c r="F8" s="13">
        <f t="shared" si="0"/>
        <v>1.9386875752807289</v>
      </c>
      <c r="G8" s="10">
        <v>0.1</v>
      </c>
      <c r="H8" s="10">
        <f t="shared" si="1"/>
        <v>2.6390678605848851E-2</v>
      </c>
      <c r="I8" s="10">
        <f t="shared" si="2"/>
        <v>1.0517774429382315E-2</v>
      </c>
      <c r="K8" t="s">
        <v>46</v>
      </c>
      <c r="L8" s="10">
        <f>SUMPRODUCT(G6:G16,E6:E16)</f>
        <v>0.7482884188455845</v>
      </c>
      <c r="M8" s="10">
        <f>SUMPRODUCT(G21:G30,E21:E30)</f>
        <v>0.64807474099654649</v>
      </c>
    </row>
    <row r="9" spans="1:13" x14ac:dyDescent="0.3">
      <c r="A9" t="s">
        <v>24</v>
      </c>
      <c r="B9" t="s">
        <v>2</v>
      </c>
      <c r="C9" s="10">
        <f>'Data Collection'!I29</f>
        <v>0.22712390941406246</v>
      </c>
      <c r="D9" s="10">
        <f>'Data Collection'!I31</f>
        <v>0.11132030599273342</v>
      </c>
      <c r="E9" s="12">
        <f>'Data Collection'!I32</f>
        <v>0.78067957572767621</v>
      </c>
      <c r="F9" s="13">
        <f t="shared" si="0"/>
        <v>1.5012886276558717</v>
      </c>
      <c r="G9" s="10">
        <v>0.1</v>
      </c>
      <c r="H9" s="10">
        <f t="shared" si="1"/>
        <v>2.2712390941406247E-2</v>
      </c>
      <c r="I9" s="10">
        <f t="shared" si="2"/>
        <v>1.1132030599273342E-2</v>
      </c>
      <c r="K9" t="s">
        <v>19</v>
      </c>
      <c r="L9" s="10">
        <f>$B$35</f>
        <v>0.06</v>
      </c>
      <c r="M9" s="10">
        <f>$B$35</f>
        <v>0.06</v>
      </c>
    </row>
    <row r="10" spans="1:13" x14ac:dyDescent="0.3">
      <c r="A10" t="s">
        <v>1</v>
      </c>
      <c r="B10" t="s">
        <v>8</v>
      </c>
      <c r="C10" s="10">
        <f>'Data Collection'!J29</f>
        <v>0.22969093028906173</v>
      </c>
      <c r="D10" s="10">
        <f>'Data Collection'!J31</f>
        <v>8.6229742090839098E-2</v>
      </c>
      <c r="E10" s="12">
        <f>'Data Collection'!J32</f>
        <v>0.6013351011346818</v>
      </c>
      <c r="F10" s="13">
        <f t="shared" si="0"/>
        <v>1.9678932833905509</v>
      </c>
      <c r="G10" s="10">
        <v>0.1</v>
      </c>
      <c r="H10" s="10">
        <f t="shared" si="1"/>
        <v>2.2969093028906176E-2</v>
      </c>
      <c r="I10" s="10">
        <f t="shared" si="2"/>
        <v>8.6229742090839102E-3</v>
      </c>
      <c r="K10" t="s">
        <v>48</v>
      </c>
      <c r="L10" s="10">
        <f>H17</f>
        <v>0.21230828943915039</v>
      </c>
      <c r="M10" s="10">
        <f>H31</f>
        <v>0.18333085287329876</v>
      </c>
    </row>
    <row r="11" spans="1:13" x14ac:dyDescent="0.3">
      <c r="A11" t="s">
        <v>23</v>
      </c>
      <c r="B11" t="s">
        <v>7</v>
      </c>
      <c r="C11" s="10">
        <f>'Data Collection'!C29</f>
        <v>0.18114782503906235</v>
      </c>
      <c r="D11" s="10">
        <f>'Data Collection'!C31</f>
        <v>0.10050504046014179</v>
      </c>
      <c r="E11" s="12">
        <f>'Data Collection'!C32</f>
        <v>0.72189504193389242</v>
      </c>
      <c r="F11" s="13">
        <f t="shared" si="0"/>
        <v>1.2053905404585858</v>
      </c>
      <c r="G11" s="10">
        <v>0.08</v>
      </c>
      <c r="H11" s="10">
        <f t="shared" si="1"/>
        <v>1.4491826003124987E-2</v>
      </c>
      <c r="I11" s="10">
        <f t="shared" si="2"/>
        <v>8.0404032368113429E-3</v>
      </c>
    </row>
    <row r="12" spans="1:13" x14ac:dyDescent="0.3">
      <c r="A12" t="s">
        <v>9</v>
      </c>
      <c r="B12" t="s">
        <v>20</v>
      </c>
      <c r="C12" s="10">
        <f>'Data Collection'!M29</f>
        <v>0.12201615534696897</v>
      </c>
      <c r="D12" s="10">
        <f>'Data Collection'!M31</f>
        <v>9.2489771838494883E-2</v>
      </c>
      <c r="E12" s="12">
        <f>'Data Collection'!M32</f>
        <v>0.64098729649728647</v>
      </c>
      <c r="F12" s="13">
        <f t="shared" si="0"/>
        <v>0.67051906512712811</v>
      </c>
      <c r="G12" s="10">
        <v>0.08</v>
      </c>
      <c r="H12" s="10">
        <f t="shared" si="1"/>
        <v>9.7612924277575182E-3</v>
      </c>
      <c r="I12" s="10">
        <f t="shared" si="2"/>
        <v>7.3991817470795904E-3</v>
      </c>
    </row>
    <row r="13" spans="1:13" x14ac:dyDescent="0.3">
      <c r="A13" t="s">
        <v>12</v>
      </c>
      <c r="B13" t="s">
        <v>16</v>
      </c>
      <c r="C13" s="10">
        <f>'Data Collection'!H29</f>
        <v>0.21504326614580038</v>
      </c>
      <c r="D13" s="10">
        <f>'Data Collection'!H31</f>
        <v>7.55412748802025E-2</v>
      </c>
      <c r="E13" s="12">
        <f>'Data Collection'!H32</f>
        <v>0.5313116674888998</v>
      </c>
      <c r="F13" s="13">
        <f t="shared" si="0"/>
        <v>2.0524311562344759</v>
      </c>
      <c r="G13" s="10">
        <v>0.08</v>
      </c>
      <c r="H13" s="10">
        <f t="shared" si="1"/>
        <v>1.7203461291664029E-2</v>
      </c>
      <c r="I13" s="10">
        <f t="shared" si="2"/>
        <v>6.0433019904162005E-3</v>
      </c>
    </row>
    <row r="14" spans="1:13" x14ac:dyDescent="0.3">
      <c r="A14" t="s">
        <v>15</v>
      </c>
      <c r="B14" t="s">
        <v>22</v>
      </c>
      <c r="C14" s="10">
        <f>'Data Collection'!G29</f>
        <v>8.3918616068945573E-2</v>
      </c>
      <c r="D14" s="10">
        <f>'Data Collection'!G31</f>
        <v>8.8382601288524626E-2</v>
      </c>
      <c r="E14" s="12">
        <f>'Data Collection'!G32</f>
        <v>0.60770226936359151</v>
      </c>
      <c r="F14" s="13">
        <f t="shared" si="0"/>
        <v>0.2706258440036558</v>
      </c>
      <c r="G14" s="10">
        <v>0.06</v>
      </c>
      <c r="H14" s="10">
        <f t="shared" si="1"/>
        <v>5.0351169641367341E-3</v>
      </c>
      <c r="I14" s="10">
        <f t="shared" si="2"/>
        <v>5.3029560773114777E-3</v>
      </c>
    </row>
    <row r="15" spans="1:13" x14ac:dyDescent="0.3">
      <c r="A15" t="s">
        <v>29</v>
      </c>
      <c r="B15" t="s">
        <v>6</v>
      </c>
      <c r="C15" s="10">
        <f>'Data Collection'!L29</f>
        <v>0.14774476026889283</v>
      </c>
      <c r="D15" s="10">
        <f>'Data Collection'!L31</f>
        <v>9.5625310457012377E-2</v>
      </c>
      <c r="E15" s="12">
        <f>'Data Collection'!L32</f>
        <v>0.67263813517513571</v>
      </c>
      <c r="F15" s="13">
        <f t="shared" si="0"/>
        <v>0.91758928519597138</v>
      </c>
      <c r="G15" s="10">
        <v>0.08</v>
      </c>
      <c r="H15" s="10">
        <f t="shared" si="1"/>
        <v>1.1819580821511426E-2</v>
      </c>
      <c r="I15" s="10">
        <f t="shared" si="2"/>
        <v>7.6500248365609907E-3</v>
      </c>
    </row>
    <row r="16" spans="1:13" x14ac:dyDescent="0.3">
      <c r="A16" t="s">
        <v>5</v>
      </c>
      <c r="B16" t="s">
        <v>22</v>
      </c>
      <c r="C16" s="10">
        <f>'Data Collection'!F29</f>
        <v>6.6811533579175908E-2</v>
      </c>
      <c r="D16" s="10">
        <f>'Data Collection'!F31</f>
        <v>7.8179550428888744E-2</v>
      </c>
      <c r="E16" s="12">
        <f>'Data Collection'!F32</f>
        <v>0.53643006906758761</v>
      </c>
      <c r="F16" s="13">
        <f t="shared" si="0"/>
        <v>8.7126793922556595E-2</v>
      </c>
      <c r="G16" s="10">
        <v>0.08</v>
      </c>
      <c r="H16" s="10">
        <f t="shared" si="1"/>
        <v>5.3449226863340731E-3</v>
      </c>
      <c r="I16" s="10">
        <f t="shared" si="2"/>
        <v>6.2543640343111001E-3</v>
      </c>
    </row>
    <row r="17" spans="1:14" x14ac:dyDescent="0.3">
      <c r="A17" s="1" t="s">
        <v>35</v>
      </c>
      <c r="C17" s="11"/>
      <c r="D17" s="11"/>
      <c r="E17" s="11"/>
      <c r="F17" s="11"/>
      <c r="G17" s="10">
        <f>SUM(G6:G16)</f>
        <v>0.99999999999999978</v>
      </c>
      <c r="H17" s="10">
        <f>SUM(H6:H16)</f>
        <v>0.21230828943915039</v>
      </c>
      <c r="I17" s="10">
        <f>SQRT(SUMPRODUCT(G6:G16^2,D6:D16^2))</f>
        <v>3.521635158484434E-2</v>
      </c>
    </row>
    <row r="18" spans="1:14" x14ac:dyDescent="0.3">
      <c r="C18" s="11"/>
      <c r="D18" s="11"/>
      <c r="E18" s="11"/>
      <c r="F18" s="11"/>
      <c r="G18" s="11"/>
      <c r="H18" s="11"/>
      <c r="I18" s="11"/>
    </row>
    <row r="19" spans="1:14" ht="41.4" x14ac:dyDescent="0.3">
      <c r="A19" s="17" t="s">
        <v>40</v>
      </c>
    </row>
    <row r="20" spans="1:14" x14ac:dyDescent="0.3">
      <c r="A20" s="5" t="s">
        <v>37</v>
      </c>
      <c r="B20" s="5" t="s">
        <v>3</v>
      </c>
      <c r="C20" s="5" t="s">
        <v>31</v>
      </c>
      <c r="D20" s="5" t="s">
        <v>32</v>
      </c>
      <c r="E20" s="5" t="s">
        <v>21</v>
      </c>
      <c r="F20" s="5" t="s">
        <v>38</v>
      </c>
      <c r="G20" s="5" t="s">
        <v>36</v>
      </c>
      <c r="H20" s="5" t="s">
        <v>30</v>
      </c>
      <c r="I20" s="5" t="s">
        <v>39</v>
      </c>
    </row>
    <row r="21" spans="1:14" x14ac:dyDescent="0.3">
      <c r="A21" t="s">
        <v>12</v>
      </c>
      <c r="B21" t="s">
        <v>16</v>
      </c>
      <c r="C21" s="3">
        <f>'Data Collection'!H29</f>
        <v>0.21504326614580038</v>
      </c>
      <c r="D21" s="3">
        <f>'Data Collection'!H31</f>
        <v>7.55412748802025E-2</v>
      </c>
      <c r="E21" s="4">
        <f>'Data Collection'!H32</f>
        <v>0.5313116674888998</v>
      </c>
      <c r="F21" s="6">
        <f t="shared" ref="F21:F30" si="3">(C21-$B$35)/D21</f>
        <v>2.0524311562344759</v>
      </c>
      <c r="G21" s="3">
        <v>0.15</v>
      </c>
      <c r="H21" s="3">
        <f t="shared" ref="H21:H30" si="4">C21*G21</f>
        <v>3.2256489921870059E-2</v>
      </c>
      <c r="I21" s="3">
        <f t="shared" ref="I21:I30" si="5">D21*G21</f>
        <v>1.1331191232030375E-2</v>
      </c>
      <c r="N21" s="18"/>
    </row>
    <row r="22" spans="1:14" x14ac:dyDescent="0.3">
      <c r="A22" t="s">
        <v>13</v>
      </c>
      <c r="B22" t="s">
        <v>7</v>
      </c>
      <c r="C22" s="3">
        <f>'Data Collection'!B29</f>
        <v>0.14331566983465649</v>
      </c>
      <c r="D22" s="3">
        <f>'Data Collection'!B31</f>
        <v>8.157779625673435E-2</v>
      </c>
      <c r="E22" s="4">
        <f>'Data Collection'!B32</f>
        <v>0.59432042427232357</v>
      </c>
      <c r="F22" s="6">
        <f t="shared" si="3"/>
        <v>1.0213032670366928</v>
      </c>
      <c r="G22" s="3">
        <v>0.15</v>
      </c>
      <c r="H22" s="3">
        <f t="shared" si="4"/>
        <v>2.1497350475198473E-2</v>
      </c>
      <c r="I22" s="3">
        <f t="shared" si="5"/>
        <v>1.2236669438510152E-2</v>
      </c>
    </row>
    <row r="23" spans="1:14" x14ac:dyDescent="0.3">
      <c r="A23" t="s">
        <v>1</v>
      </c>
      <c r="B23" t="s">
        <v>8</v>
      </c>
      <c r="C23" s="3">
        <f>'Data Collection'!J29</f>
        <v>0.22969093028906173</v>
      </c>
      <c r="D23" s="3">
        <f>'Data Collection'!J31</f>
        <v>8.6229742090839098E-2</v>
      </c>
      <c r="E23" s="4">
        <f>'Data Collection'!J32</f>
        <v>0.6013351011346818</v>
      </c>
      <c r="F23" s="6">
        <f t="shared" si="3"/>
        <v>1.9678932833905509</v>
      </c>
      <c r="G23" s="3">
        <v>0.12</v>
      </c>
      <c r="H23" s="3">
        <f t="shared" si="4"/>
        <v>2.7562911634687406E-2</v>
      </c>
      <c r="I23" s="3">
        <f t="shared" si="5"/>
        <v>1.0347569050900691E-2</v>
      </c>
    </row>
    <row r="24" spans="1:14" x14ac:dyDescent="0.3">
      <c r="A24" t="s">
        <v>5</v>
      </c>
      <c r="B24" t="s">
        <v>22</v>
      </c>
      <c r="C24" s="3">
        <f>'Data Collection'!F29</f>
        <v>6.6811533579175908E-2</v>
      </c>
      <c r="D24" s="3">
        <f>'Data Collection'!F31</f>
        <v>7.8179550428888744E-2</v>
      </c>
      <c r="E24" s="4">
        <f>'Data Collection'!F32</f>
        <v>0.53643006906758761</v>
      </c>
      <c r="F24" s="6">
        <f t="shared" si="3"/>
        <v>8.7126793922556595E-2</v>
      </c>
      <c r="G24" s="3">
        <v>0.12</v>
      </c>
      <c r="H24" s="3">
        <f t="shared" si="4"/>
        <v>8.0173840295011088E-3</v>
      </c>
      <c r="I24" s="3">
        <f t="shared" si="5"/>
        <v>9.3815460514666497E-3</v>
      </c>
    </row>
    <row r="25" spans="1:14" x14ac:dyDescent="0.3">
      <c r="A25" t="s">
        <v>11</v>
      </c>
      <c r="B25" t="s">
        <v>27</v>
      </c>
      <c r="C25" s="3">
        <f>'Data Collection'!N29</f>
        <v>0.2639067860584885</v>
      </c>
      <c r="D25" s="3">
        <f>'Data Collection'!N31</f>
        <v>0.10517774429382314</v>
      </c>
      <c r="E25" s="4">
        <f>'Data Collection'!N32</f>
        <v>0.73899235323137646</v>
      </c>
      <c r="F25" s="6">
        <f t="shared" si="3"/>
        <v>1.9386875752807289</v>
      </c>
      <c r="G25" s="3">
        <v>0.1</v>
      </c>
      <c r="H25" s="3">
        <f t="shared" si="4"/>
        <v>2.6390678605848851E-2</v>
      </c>
      <c r="I25" s="3">
        <f t="shared" si="5"/>
        <v>1.0517774429382315E-2</v>
      </c>
    </row>
    <row r="26" spans="1:14" x14ac:dyDescent="0.3">
      <c r="A26" t="s">
        <v>17</v>
      </c>
      <c r="B26" t="s">
        <v>7</v>
      </c>
      <c r="C26" s="3">
        <f>'Data Collection'!D29</f>
        <v>0.27035603866002211</v>
      </c>
      <c r="D26" s="3">
        <f>'Data Collection'!D31</f>
        <v>0.12999963562701974</v>
      </c>
      <c r="E26" s="4">
        <f>'Data Collection'!D32</f>
        <v>0.90769918598914645</v>
      </c>
      <c r="F26" s="6">
        <f t="shared" si="3"/>
        <v>1.6181279097085461</v>
      </c>
      <c r="G26" s="3">
        <v>0.1</v>
      </c>
      <c r="H26" s="3">
        <f t="shared" si="4"/>
        <v>2.7035603866002213E-2</v>
      </c>
      <c r="I26" s="3">
        <f t="shared" si="5"/>
        <v>1.2999963562701975E-2</v>
      </c>
    </row>
    <row r="27" spans="1:14" x14ac:dyDescent="0.3">
      <c r="A27" t="s">
        <v>28</v>
      </c>
      <c r="B27" t="s">
        <v>7</v>
      </c>
      <c r="C27" s="3">
        <f>'Data Collection'!E29</f>
        <v>0.15129728770337425</v>
      </c>
      <c r="D27" s="3">
        <f>'Data Collection'!E31</f>
        <v>9.2906914365089674E-2</v>
      </c>
      <c r="E27" s="4">
        <f>'Data Collection'!E32</f>
        <v>0.66425135668475577</v>
      </c>
      <c r="F27" s="6">
        <f t="shared" si="3"/>
        <v>0.9826748453253954</v>
      </c>
      <c r="G27" s="3">
        <v>0.08</v>
      </c>
      <c r="H27" s="3">
        <f t="shared" si="4"/>
        <v>1.210378301626994E-2</v>
      </c>
      <c r="I27" s="3">
        <f t="shared" si="5"/>
        <v>7.4325531492071741E-3</v>
      </c>
    </row>
    <row r="28" spans="1:14" x14ac:dyDescent="0.3">
      <c r="A28" t="s">
        <v>24</v>
      </c>
      <c r="B28" t="s">
        <v>2</v>
      </c>
      <c r="C28" s="3">
        <f>'Data Collection'!I29</f>
        <v>0.22712390941406246</v>
      </c>
      <c r="D28" s="3">
        <f>'Data Collection'!I31</f>
        <v>0.11132030599273342</v>
      </c>
      <c r="E28" s="4">
        <f>'Data Collection'!I32</f>
        <v>0.78067957572767621</v>
      </c>
      <c r="F28" s="6">
        <f t="shared" si="3"/>
        <v>1.5012886276558717</v>
      </c>
      <c r="G28" s="3">
        <v>0.08</v>
      </c>
      <c r="H28" s="3">
        <f t="shared" si="4"/>
        <v>1.8169912753124996E-2</v>
      </c>
      <c r="I28" s="3">
        <f t="shared" si="5"/>
        <v>8.905624479418674E-3</v>
      </c>
    </row>
    <row r="29" spans="1:14" x14ac:dyDescent="0.3">
      <c r="A29" t="s">
        <v>15</v>
      </c>
      <c r="B29" t="s">
        <v>22</v>
      </c>
      <c r="C29" s="3">
        <f>'Data Collection'!G29</f>
        <v>8.3918616068945573E-2</v>
      </c>
      <c r="D29" s="3">
        <f>'Data Collection'!G31</f>
        <v>8.8382601288524626E-2</v>
      </c>
      <c r="E29" s="4">
        <f>'Data Collection'!G32</f>
        <v>0.60770226936359151</v>
      </c>
      <c r="F29" s="6">
        <f t="shared" si="3"/>
        <v>0.2706258440036558</v>
      </c>
      <c r="G29" s="3">
        <v>0.05</v>
      </c>
      <c r="H29" s="3">
        <f t="shared" si="4"/>
        <v>4.1959308034472788E-3</v>
      </c>
      <c r="I29" s="3">
        <f t="shared" si="5"/>
        <v>4.4191300644262311E-3</v>
      </c>
    </row>
    <row r="30" spans="1:14" x14ac:dyDescent="0.3">
      <c r="A30" t="s">
        <v>9</v>
      </c>
      <c r="B30" t="s">
        <v>20</v>
      </c>
      <c r="C30" s="3">
        <f>'Data Collection'!M29</f>
        <v>0.12201615534696897</v>
      </c>
      <c r="D30" s="3">
        <f>'Data Collection'!M31</f>
        <v>9.2489771838494883E-2</v>
      </c>
      <c r="E30" s="4">
        <f>'Data Collection'!M32</f>
        <v>0.64098729649728647</v>
      </c>
      <c r="F30" s="6">
        <f t="shared" si="3"/>
        <v>0.67051906512712811</v>
      </c>
      <c r="G30" s="3">
        <v>0.05</v>
      </c>
      <c r="H30" s="3">
        <f t="shared" si="4"/>
        <v>6.1008077673484484E-3</v>
      </c>
      <c r="I30" s="3">
        <f t="shared" si="5"/>
        <v>4.624488591924744E-3</v>
      </c>
    </row>
    <row r="31" spans="1:14" x14ac:dyDescent="0.3">
      <c r="A31" s="1" t="s">
        <v>35</v>
      </c>
      <c r="G31" s="3">
        <f>SUM(G21:G30)</f>
        <v>1</v>
      </c>
      <c r="H31" s="3">
        <f>SUM(H21:H30)</f>
        <v>0.18333085287329876</v>
      </c>
      <c r="I31" s="3">
        <f>SQRT(SUMPRODUCT(G21:G30^2,D21:D30^2))</f>
        <v>3.0468143950517793E-2</v>
      </c>
    </row>
    <row r="35" spans="1:2" x14ac:dyDescent="0.3">
      <c r="A35" t="s">
        <v>0</v>
      </c>
      <c r="B35" s="3">
        <f>'Data Collection'!B36</f>
        <v>0.06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31"/>
  <sheetViews>
    <sheetView showGridLines="0" workbookViewId="0">
      <selection activeCell="E26" sqref="E26"/>
    </sheetView>
  </sheetViews>
  <sheetFormatPr defaultRowHeight="13.8" x14ac:dyDescent="0.3"/>
  <cols>
    <col min="1" max="1" width="34.88671875" customWidth="1"/>
    <col min="2" max="2" width="22" customWidth="1"/>
    <col min="3" max="3" width="22.44140625" customWidth="1"/>
    <col min="4" max="4" width="17.88671875" customWidth="1"/>
    <col min="5" max="5" width="32.33203125" bestFit="1" customWidth="1"/>
  </cols>
  <sheetData>
    <row r="2" spans="1:5" x14ac:dyDescent="0.3">
      <c r="A2" t="s">
        <v>57</v>
      </c>
    </row>
    <row r="4" spans="1:5" x14ac:dyDescent="0.3">
      <c r="A4" s="2" t="s">
        <v>74</v>
      </c>
    </row>
    <row r="5" spans="1:5" x14ac:dyDescent="0.3">
      <c r="A5" t="s">
        <v>19</v>
      </c>
      <c r="B5" s="3">
        <f>'Data Collection'!B36</f>
        <v>0.06</v>
      </c>
    </row>
    <row r="6" spans="1:5" x14ac:dyDescent="0.3">
      <c r="A6" t="s">
        <v>26</v>
      </c>
      <c r="B6" s="3">
        <f>'Data Collection'!B37</f>
        <v>0.16088557313600016</v>
      </c>
    </row>
    <row r="7" spans="1:5" x14ac:dyDescent="0.3">
      <c r="A7" t="s">
        <v>71</v>
      </c>
      <c r="B7" s="3">
        <f>B6-B5</f>
        <v>0.10088557313600016</v>
      </c>
    </row>
    <row r="9" spans="1:5" x14ac:dyDescent="0.3">
      <c r="A9" s="2" t="s">
        <v>78</v>
      </c>
    </row>
    <row r="10" spans="1:5" x14ac:dyDescent="0.3">
      <c r="A10" s="5" t="s">
        <v>47</v>
      </c>
      <c r="B10" s="9" t="s">
        <v>43</v>
      </c>
      <c r="C10" s="9" t="s">
        <v>44</v>
      </c>
      <c r="D10" s="9" t="s">
        <v>60</v>
      </c>
    </row>
    <row r="11" spans="1:5" x14ac:dyDescent="0.3">
      <c r="A11" t="s">
        <v>76</v>
      </c>
      <c r="B11" s="10">
        <f>'Portfolio Construction'!H17</f>
        <v>0.21230828943915039</v>
      </c>
      <c r="C11" s="10">
        <f>'Portfolio Construction'!H31</f>
        <v>0.18333085287329876</v>
      </c>
      <c r="D11" s="11" t="s">
        <v>50</v>
      </c>
    </row>
    <row r="12" spans="1:5" x14ac:dyDescent="0.3">
      <c r="A12" t="s">
        <v>45</v>
      </c>
      <c r="B12" s="10">
        <f>'Portfolio Construction'!I17</f>
        <v>3.521635158484434E-2</v>
      </c>
      <c r="C12" s="10">
        <f>'Portfolio Construction'!I31</f>
        <v>3.0468143950517793E-2</v>
      </c>
      <c r="D12" s="11" t="s">
        <v>54</v>
      </c>
    </row>
    <row r="13" spans="1:5" x14ac:dyDescent="0.3">
      <c r="A13" t="s">
        <v>46</v>
      </c>
      <c r="B13" s="10">
        <f>'Portfolio Construction'!L8</f>
        <v>0.7482884188455845</v>
      </c>
      <c r="C13" s="10">
        <f>'Portfolio Construction'!M8</f>
        <v>0.64807474099654649</v>
      </c>
      <c r="D13" s="11" t="s">
        <v>68</v>
      </c>
    </row>
    <row r="14" spans="1:5" x14ac:dyDescent="0.3">
      <c r="B14" s="11"/>
      <c r="C14" s="11"/>
      <c r="D14" s="11"/>
    </row>
    <row r="15" spans="1:5" x14ac:dyDescent="0.3">
      <c r="A15" s="2" t="s">
        <v>65</v>
      </c>
    </row>
    <row r="16" spans="1:5" x14ac:dyDescent="0.3">
      <c r="A16" s="5" t="s">
        <v>69</v>
      </c>
      <c r="B16" s="9" t="s">
        <v>43</v>
      </c>
      <c r="C16" s="9" t="s">
        <v>44</v>
      </c>
      <c r="D16" s="9" t="s">
        <v>60</v>
      </c>
      <c r="E16" s="9" t="s">
        <v>55</v>
      </c>
    </row>
    <row r="17" spans="1:5" x14ac:dyDescent="0.3">
      <c r="A17" s="1" t="s">
        <v>75</v>
      </c>
      <c r="B17" s="13">
        <f>(B11-$B$5)/B12</f>
        <v>4.3249309648730785</v>
      </c>
      <c r="C17" s="13">
        <f>(C11-$B$5)/C12</f>
        <v>4.0478623533352058</v>
      </c>
      <c r="D17" s="11" t="s">
        <v>73</v>
      </c>
      <c r="E17" s="11" t="s">
        <v>70</v>
      </c>
    </row>
    <row r="18" spans="1:5" x14ac:dyDescent="0.3">
      <c r="A18" s="1" t="s">
        <v>62</v>
      </c>
      <c r="B18" s="13">
        <f>(B11-$B$5)/B13</f>
        <v>0.2035422246332807</v>
      </c>
      <c r="C18" s="13">
        <f>(C11-$B$5)/C13</f>
        <v>0.190303440439065</v>
      </c>
      <c r="D18" s="11" t="s">
        <v>64</v>
      </c>
      <c r="E18" s="11" t="s">
        <v>72</v>
      </c>
    </row>
    <row r="19" spans="1:5" x14ac:dyDescent="0.3">
      <c r="A19" s="1" t="s">
        <v>66</v>
      </c>
      <c r="B19" s="10">
        <f>B11-($B$5+B13*($B$6-$B$5))</f>
        <v>7.6816783432882257E-2</v>
      </c>
      <c r="C19" s="10">
        <f>C11-($B$5+C13*($B$6-$B$5))</f>
        <v>5.7949461192897289E-2</v>
      </c>
      <c r="D19" s="11" t="s">
        <v>59</v>
      </c>
      <c r="E19" s="11" t="s">
        <v>63</v>
      </c>
    </row>
    <row r="21" spans="1:5" x14ac:dyDescent="0.3">
      <c r="A21" s="2" t="s">
        <v>58</v>
      </c>
    </row>
    <row r="22" spans="1:5" x14ac:dyDescent="0.3">
      <c r="A22" s="5" t="s">
        <v>56</v>
      </c>
      <c r="B22" s="9" t="s">
        <v>43</v>
      </c>
      <c r="C22" s="9" t="s">
        <v>44</v>
      </c>
    </row>
    <row r="23" spans="1:5" x14ac:dyDescent="0.3">
      <c r="A23" t="s">
        <v>53</v>
      </c>
      <c r="B23" s="11" t="s">
        <v>77</v>
      </c>
      <c r="C23" s="11" t="s">
        <v>49</v>
      </c>
    </row>
    <row r="24" spans="1:5" x14ac:dyDescent="0.3">
      <c r="A24" t="s">
        <v>61</v>
      </c>
      <c r="B24" s="11" t="str">
        <f>IF(B17&gt;1,"Excellent",IF(B17&gt;0.5,"Good","Needs Improvement"))</f>
        <v>Excellent</v>
      </c>
      <c r="C24" s="11" t="str">
        <f>IF(C17&gt;1,"Excellent",IF(C17&gt;0.5,"Good","Needs Improvement"))</f>
        <v>Excellent</v>
      </c>
    </row>
    <row r="25" spans="1:5" x14ac:dyDescent="0.3">
      <c r="A25" t="s">
        <v>67</v>
      </c>
      <c r="B25" s="11" t="str">
        <f>IF(B19&gt;0,"Outperforming CAPM","Underperforming CAPM")</f>
        <v>Outperforming CAPM</v>
      </c>
      <c r="C25" s="11" t="str">
        <f>IF(C19&gt;0,"Outperforming CAPM","Underperforming CAPM")</f>
        <v>Outperforming CAPM</v>
      </c>
    </row>
    <row r="27" spans="1:5" x14ac:dyDescent="0.3">
      <c r="D27" s="11"/>
    </row>
    <row r="28" spans="1:5" x14ac:dyDescent="0.3">
      <c r="D28" s="11"/>
    </row>
    <row r="29" spans="1:5" x14ac:dyDescent="0.3">
      <c r="D29" s="11"/>
    </row>
    <row r="30" spans="1:5" x14ac:dyDescent="0.3">
      <c r="D30" s="11"/>
    </row>
    <row r="31" spans="1:5" x14ac:dyDescent="0.3">
      <c r="B31" s="11"/>
      <c r="C31" s="11"/>
      <c r="D31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30"/>
  <sheetViews>
    <sheetView showGridLines="0" tabSelected="1" workbookViewId="0">
      <selection activeCell="F20" sqref="F20"/>
    </sheetView>
  </sheetViews>
  <sheetFormatPr defaultRowHeight="13.8" x14ac:dyDescent="0.3"/>
  <cols>
    <col min="1" max="1" width="41.44140625" customWidth="1"/>
    <col min="2" max="2" width="11.21875" customWidth="1"/>
    <col min="3" max="3" width="10.5546875" customWidth="1"/>
    <col min="4" max="4" width="13.109375" customWidth="1"/>
    <col min="5" max="5" width="15.77734375" customWidth="1"/>
    <col min="6" max="6" width="81.5546875" customWidth="1"/>
  </cols>
  <sheetData>
    <row r="2" spans="1:6" x14ac:dyDescent="0.3">
      <c r="A2" t="s">
        <v>90</v>
      </c>
    </row>
    <row r="4" spans="1:6" x14ac:dyDescent="0.3">
      <c r="A4" s="2" t="s">
        <v>89</v>
      </c>
    </row>
    <row r="5" spans="1:6" x14ac:dyDescent="0.3">
      <c r="A5" s="5" t="s">
        <v>80</v>
      </c>
      <c r="B5" s="9" t="s">
        <v>96</v>
      </c>
      <c r="C5" s="9" t="s">
        <v>99</v>
      </c>
      <c r="D5" s="9" t="s">
        <v>93</v>
      </c>
      <c r="E5" s="9" t="s">
        <v>103</v>
      </c>
      <c r="F5" s="9" t="s">
        <v>18</v>
      </c>
    </row>
    <row r="6" spans="1:6" x14ac:dyDescent="0.3">
      <c r="A6" t="s">
        <v>84</v>
      </c>
      <c r="B6" s="11" t="s">
        <v>92</v>
      </c>
      <c r="C6" s="14">
        <v>45231</v>
      </c>
      <c r="D6" s="11" t="s">
        <v>109</v>
      </c>
      <c r="E6" s="10">
        <v>4.4999999999999997E-3</v>
      </c>
      <c r="F6" s="11" t="str">
        <f>HYPERLINK("https://www.dezerv.in/mutual-funds/groww-multicap-fund-direct-growth-inf666m01jd9/")</f>
        <v>https://www.dezerv.in/mutual-funds/groww-multicap-fund-direct-growth-inf666m01jd9/</v>
      </c>
    </row>
    <row r="7" spans="1:6" x14ac:dyDescent="0.3">
      <c r="A7" t="s">
        <v>86</v>
      </c>
      <c r="B7" s="11" t="s">
        <v>87</v>
      </c>
      <c r="C7" s="14">
        <v>44805</v>
      </c>
      <c r="D7" s="11" t="s">
        <v>107</v>
      </c>
      <c r="E7" s="10">
        <v>7.1000000000000004E-3</v>
      </c>
      <c r="F7" s="11" t="str">
        <f>HYPERLINK("https://www.topstockresearch.com/rt/Stock/AXISBANK/BetaAndVolatility")</f>
        <v>https://www.topstockresearch.com/rt/Stock/AXISBANK/BetaAndVolatility</v>
      </c>
    </row>
    <row r="9" spans="1:6" x14ac:dyDescent="0.3">
      <c r="A9" s="2" t="s">
        <v>101</v>
      </c>
    </row>
    <row r="10" spans="1:6" x14ac:dyDescent="0.3">
      <c r="A10" s="5" t="s">
        <v>47</v>
      </c>
      <c r="B10" s="9" t="s">
        <v>43</v>
      </c>
      <c r="C10" s="9" t="s">
        <v>44</v>
      </c>
      <c r="D10" s="9" t="s">
        <v>81</v>
      </c>
      <c r="E10" s="9" t="s">
        <v>79</v>
      </c>
    </row>
    <row r="11" spans="1:6" x14ac:dyDescent="0.3">
      <c r="A11" t="s">
        <v>91</v>
      </c>
      <c r="B11" s="10">
        <f>'Performance Evaluation'!B11</f>
        <v>0.21230828943915039</v>
      </c>
      <c r="C11" s="10">
        <f>'Performance Evaluation'!C11</f>
        <v>0.18333085287329876</v>
      </c>
      <c r="D11" s="10">
        <v>0.20100000000000001</v>
      </c>
      <c r="E11" s="10">
        <v>0.35499999999999998</v>
      </c>
    </row>
    <row r="12" spans="1:6" x14ac:dyDescent="0.3">
      <c r="A12" t="s">
        <v>111</v>
      </c>
      <c r="B12" s="10">
        <f>'Performance Evaluation'!B12</f>
        <v>3.521635158484434E-2</v>
      </c>
      <c r="C12" s="10">
        <f>'Performance Evaluation'!C12</f>
        <v>3.0468143950517793E-2</v>
      </c>
      <c r="D12" s="10">
        <v>0.14219999999999999</v>
      </c>
      <c r="E12" s="10">
        <v>0.13639999999999999</v>
      </c>
    </row>
    <row r="13" spans="1:6" x14ac:dyDescent="0.3">
      <c r="A13" t="s">
        <v>21</v>
      </c>
      <c r="B13" s="12">
        <f>'Performance Evaluation'!B13</f>
        <v>0.7482884188455845</v>
      </c>
      <c r="C13" s="12">
        <f>'Performance Evaluation'!C13</f>
        <v>0.64807474099654649</v>
      </c>
      <c r="D13" s="12">
        <v>1.01</v>
      </c>
      <c r="E13" s="12">
        <v>0.91</v>
      </c>
    </row>
    <row r="14" spans="1:6" x14ac:dyDescent="0.3">
      <c r="A14" t="s">
        <v>38</v>
      </c>
      <c r="B14" s="13">
        <f>'Performance Evaluation'!B17</f>
        <v>4.3249309648730785</v>
      </c>
      <c r="C14" s="13">
        <f>'Performance Evaluation'!C17</f>
        <v>4.0478623533352058</v>
      </c>
      <c r="D14" s="13">
        <v>0.79</v>
      </c>
      <c r="E14" s="13">
        <v>1.21</v>
      </c>
    </row>
    <row r="15" spans="1:6" x14ac:dyDescent="0.3">
      <c r="A15" t="s">
        <v>52</v>
      </c>
      <c r="B15" s="13">
        <f>'Performance Evaluation'!B18</f>
        <v>0.2035422246332807</v>
      </c>
      <c r="C15" s="13">
        <f>'Performance Evaluation'!C18</f>
        <v>0.190303440439065</v>
      </c>
      <c r="D15" s="13">
        <f>(D11-0.06)/D13</f>
        <v>0.13960396039603962</v>
      </c>
      <c r="E15" s="13">
        <f>(E11-0.06)/E13</f>
        <v>0.32417582417582413</v>
      </c>
    </row>
    <row r="16" spans="1:6" x14ac:dyDescent="0.3">
      <c r="A16" t="s">
        <v>51</v>
      </c>
      <c r="B16" s="10">
        <f>'Performance Evaluation'!B19</f>
        <v>7.6816783432882257E-2</v>
      </c>
      <c r="C16" s="10">
        <f>'Performance Evaluation'!C19</f>
        <v>5.7949461192897289E-2</v>
      </c>
      <c r="D16" s="10">
        <f>D11-(0.06+D13*(0.142-0.06))</f>
        <v>5.8180000000000009E-2</v>
      </c>
      <c r="E16" s="10">
        <f>E11-(0.06+E13*(0.142-0.06))</f>
        <v>0.22037999999999999</v>
      </c>
    </row>
    <row r="18" spans="1:6" x14ac:dyDescent="0.3">
      <c r="A18" s="2" t="s">
        <v>100</v>
      </c>
    </row>
    <row r="19" spans="1:6" x14ac:dyDescent="0.3">
      <c r="A19" s="5" t="s">
        <v>83</v>
      </c>
      <c r="B19" s="9" t="s">
        <v>104</v>
      </c>
      <c r="C19" s="9" t="s">
        <v>94</v>
      </c>
      <c r="D19" s="9" t="s">
        <v>95</v>
      </c>
      <c r="E19" s="9" t="s">
        <v>102</v>
      </c>
      <c r="F19" s="11"/>
    </row>
    <row r="20" spans="1:6" x14ac:dyDescent="0.3">
      <c r="A20" t="s">
        <v>112</v>
      </c>
      <c r="B20" s="11" t="s">
        <v>79</v>
      </c>
      <c r="C20" s="11" t="s">
        <v>43</v>
      </c>
      <c r="D20" s="11" t="s">
        <v>81</v>
      </c>
      <c r="E20" s="11" t="s">
        <v>44</v>
      </c>
      <c r="F20" s="11"/>
    </row>
    <row r="21" spans="1:6" x14ac:dyDescent="0.3">
      <c r="A21" t="s">
        <v>82</v>
      </c>
      <c r="B21" s="11" t="s">
        <v>43</v>
      </c>
      <c r="C21" s="11" t="s">
        <v>44</v>
      </c>
      <c r="D21" s="11" t="s">
        <v>79</v>
      </c>
      <c r="E21" s="11" t="s">
        <v>81</v>
      </c>
      <c r="F21" s="11"/>
    </row>
    <row r="22" spans="1:6" x14ac:dyDescent="0.3">
      <c r="A22" t="s">
        <v>110</v>
      </c>
      <c r="B22" s="11" t="s">
        <v>79</v>
      </c>
      <c r="C22" s="11" t="s">
        <v>43</v>
      </c>
      <c r="D22" s="11" t="s">
        <v>44</v>
      </c>
      <c r="E22" s="11" t="s">
        <v>81</v>
      </c>
      <c r="F22" s="11"/>
    </row>
    <row r="23" spans="1:6" x14ac:dyDescent="0.3">
      <c r="A23" t="s">
        <v>106</v>
      </c>
      <c r="B23" s="11" t="s">
        <v>79</v>
      </c>
      <c r="C23" s="11" t="s">
        <v>43</v>
      </c>
      <c r="D23" s="11" t="s">
        <v>44</v>
      </c>
      <c r="E23" s="11" t="s">
        <v>81</v>
      </c>
      <c r="F23" s="11"/>
    </row>
    <row r="25" spans="1:6" x14ac:dyDescent="0.3">
      <c r="A25" s="2" t="s">
        <v>108</v>
      </c>
    </row>
    <row r="26" spans="1:6" x14ac:dyDescent="0.3">
      <c r="A26" t="s">
        <v>88</v>
      </c>
    </row>
    <row r="27" spans="1:6" x14ac:dyDescent="0.3">
      <c r="A27" t="s">
        <v>98</v>
      </c>
    </row>
    <row r="28" spans="1:6" x14ac:dyDescent="0.3">
      <c r="A28" t="s">
        <v>85</v>
      </c>
    </row>
    <row r="29" spans="1:6" x14ac:dyDescent="0.3">
      <c r="A29" t="s">
        <v>105</v>
      </c>
    </row>
    <row r="30" spans="1:6" x14ac:dyDescent="0.3">
      <c r="A30" t="s">
        <v>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25"/>
  <sheetViews>
    <sheetView showGridLines="0" workbookViewId="0">
      <selection activeCell="G15" sqref="G15"/>
    </sheetView>
  </sheetViews>
  <sheetFormatPr defaultRowHeight="13.8" x14ac:dyDescent="0.3"/>
  <cols>
    <col min="2" max="2" width="18.44140625" customWidth="1"/>
    <col min="3" max="3" width="17" customWidth="1"/>
    <col min="4" max="4" width="13.109375" customWidth="1"/>
    <col min="5" max="5" width="39.77734375" customWidth="1"/>
    <col min="6" max="6" width="14.44140625" customWidth="1"/>
  </cols>
  <sheetData>
    <row r="2" spans="1:7" x14ac:dyDescent="0.3">
      <c r="A2" t="s">
        <v>129</v>
      </c>
    </row>
    <row r="4" spans="1:7" x14ac:dyDescent="0.3">
      <c r="A4" s="22" t="s">
        <v>116</v>
      </c>
      <c r="B4" s="22"/>
      <c r="C4" s="22"/>
      <c r="D4" s="22"/>
      <c r="E4" s="22"/>
    </row>
    <row r="5" spans="1:7" x14ac:dyDescent="0.3">
      <c r="A5" s="5" t="s">
        <v>37</v>
      </c>
      <c r="B5" s="9" t="s">
        <v>119</v>
      </c>
      <c r="C5" s="9" t="s">
        <v>113</v>
      </c>
      <c r="D5" s="9" t="s">
        <v>117</v>
      </c>
      <c r="E5" s="9" t="s">
        <v>127</v>
      </c>
      <c r="F5" s="11"/>
      <c r="G5" s="11"/>
    </row>
    <row r="6" spans="1:7" x14ac:dyDescent="0.3">
      <c r="A6" t="s">
        <v>12</v>
      </c>
      <c r="B6" s="10">
        <v>0.15</v>
      </c>
      <c r="C6" s="10">
        <v>0.12</v>
      </c>
      <c r="D6" s="10">
        <f t="shared" ref="D6:D15" si="0">C6-B6</f>
        <v>-0.03</v>
      </c>
      <c r="E6" s="11" t="s">
        <v>124</v>
      </c>
      <c r="F6" s="11"/>
      <c r="G6" s="11"/>
    </row>
    <row r="7" spans="1:7" x14ac:dyDescent="0.3">
      <c r="A7" t="s">
        <v>13</v>
      </c>
      <c r="B7" s="10">
        <v>0.15</v>
      </c>
      <c r="C7" s="10">
        <v>0.1</v>
      </c>
      <c r="D7" s="10">
        <f t="shared" si="0"/>
        <v>-4.9999999999999989E-2</v>
      </c>
      <c r="E7" s="11" t="s">
        <v>120</v>
      </c>
      <c r="F7" s="11"/>
      <c r="G7" s="11"/>
    </row>
    <row r="8" spans="1:7" x14ac:dyDescent="0.3">
      <c r="A8" t="s">
        <v>1</v>
      </c>
      <c r="B8" s="10">
        <v>0.12</v>
      </c>
      <c r="C8" s="10">
        <v>0.14000000000000001</v>
      </c>
      <c r="D8" s="10">
        <f t="shared" si="0"/>
        <v>2.0000000000000018E-2</v>
      </c>
      <c r="E8" s="11" t="s">
        <v>132</v>
      </c>
      <c r="F8" s="11"/>
      <c r="G8" s="11"/>
    </row>
    <row r="9" spans="1:7" x14ac:dyDescent="0.3">
      <c r="A9" t="s">
        <v>5</v>
      </c>
      <c r="B9" s="10">
        <v>0.12</v>
      </c>
      <c r="C9" s="10">
        <v>0.06</v>
      </c>
      <c r="D9" s="10">
        <f t="shared" si="0"/>
        <v>-0.06</v>
      </c>
      <c r="E9" s="11" t="s">
        <v>114</v>
      </c>
      <c r="F9" s="11"/>
      <c r="G9" s="11"/>
    </row>
    <row r="10" spans="1:7" x14ac:dyDescent="0.3">
      <c r="A10" t="s">
        <v>11</v>
      </c>
      <c r="B10" s="10">
        <v>0.1</v>
      </c>
      <c r="C10" s="10">
        <v>0.14000000000000001</v>
      </c>
      <c r="D10" s="10">
        <f t="shared" si="0"/>
        <v>4.0000000000000008E-2</v>
      </c>
      <c r="E10" s="11" t="s">
        <v>123</v>
      </c>
      <c r="F10" s="11"/>
      <c r="G10" s="11"/>
    </row>
    <row r="11" spans="1:7" x14ac:dyDescent="0.3">
      <c r="A11" t="s">
        <v>17</v>
      </c>
      <c r="B11" s="10">
        <v>0.1</v>
      </c>
      <c r="C11" s="10">
        <v>0.14000000000000001</v>
      </c>
      <c r="D11" s="10">
        <f t="shared" si="0"/>
        <v>4.0000000000000008E-2</v>
      </c>
      <c r="E11" s="11" t="s">
        <v>118</v>
      </c>
      <c r="F11" s="11"/>
      <c r="G11" s="11"/>
    </row>
    <row r="12" spans="1:7" x14ac:dyDescent="0.3">
      <c r="A12" t="s">
        <v>28</v>
      </c>
      <c r="B12" s="10">
        <v>0.08</v>
      </c>
      <c r="C12" s="10">
        <v>0.08</v>
      </c>
      <c r="D12" s="10">
        <f t="shared" si="0"/>
        <v>0</v>
      </c>
      <c r="E12" s="11" t="s">
        <v>115</v>
      </c>
      <c r="F12" s="11"/>
      <c r="G12" s="11"/>
    </row>
    <row r="13" spans="1:7" x14ac:dyDescent="0.3">
      <c r="A13" t="s">
        <v>24</v>
      </c>
      <c r="B13" s="10">
        <v>0.08</v>
      </c>
      <c r="C13" s="10">
        <v>0.1</v>
      </c>
      <c r="D13" s="10">
        <f t="shared" si="0"/>
        <v>2.0000000000000004E-2</v>
      </c>
      <c r="E13" s="11" t="s">
        <v>128</v>
      </c>
      <c r="F13" s="11"/>
      <c r="G13" s="11"/>
    </row>
    <row r="14" spans="1:7" x14ac:dyDescent="0.3">
      <c r="A14" t="s">
        <v>15</v>
      </c>
      <c r="B14" s="10">
        <v>0.05</v>
      </c>
      <c r="C14" s="10">
        <v>0.04</v>
      </c>
      <c r="D14" s="10">
        <f t="shared" si="0"/>
        <v>-1.0000000000000002E-2</v>
      </c>
      <c r="E14" s="11" t="s">
        <v>126</v>
      </c>
      <c r="F14" s="11"/>
      <c r="G14" s="11"/>
    </row>
    <row r="15" spans="1:7" x14ac:dyDescent="0.3">
      <c r="A15" t="s">
        <v>9</v>
      </c>
      <c r="B15" s="10">
        <v>0.05</v>
      </c>
      <c r="C15" s="10">
        <v>0.08</v>
      </c>
      <c r="D15" s="10">
        <f t="shared" si="0"/>
        <v>0.03</v>
      </c>
      <c r="E15" s="11" t="s">
        <v>130</v>
      </c>
      <c r="F15" s="11"/>
      <c r="G15" s="11"/>
    </row>
    <row r="16" spans="1:7" x14ac:dyDescent="0.3">
      <c r="A16" s="1" t="s">
        <v>35</v>
      </c>
      <c r="B16" s="10">
        <f>SUM(B6:B15)</f>
        <v>1</v>
      </c>
      <c r="C16" s="10">
        <f>SUM(C6:C15)</f>
        <v>1</v>
      </c>
      <c r="D16" s="10">
        <f>SUM(D6:D15)</f>
        <v>4.8572257327350599E-17</v>
      </c>
      <c r="E16" s="11"/>
      <c r="F16" s="11"/>
      <c r="G16" s="11"/>
    </row>
    <row r="18" spans="1:5" x14ac:dyDescent="0.3">
      <c r="A18" s="22" t="s">
        <v>125</v>
      </c>
      <c r="B18" s="22"/>
      <c r="C18" s="22"/>
      <c r="D18" s="22"/>
      <c r="E18" s="22"/>
    </row>
    <row r="19" spans="1:5" x14ac:dyDescent="0.3">
      <c r="A19" s="5" t="s">
        <v>47</v>
      </c>
      <c r="B19" s="9" t="s">
        <v>122</v>
      </c>
      <c r="C19" s="9" t="s">
        <v>121</v>
      </c>
      <c r="D19" s="9" t="s">
        <v>131</v>
      </c>
    </row>
    <row r="20" spans="1:5" x14ac:dyDescent="0.3">
      <c r="A20" t="s">
        <v>31</v>
      </c>
      <c r="B20" s="10">
        <f>'Performance Evaluation'!C11</f>
        <v>0.18333085287329876</v>
      </c>
      <c r="C20" s="10">
        <f>'Data Collection'!H29*C6+'Data Collection'!B29*C7+'Data Collection'!J29*C8+'Data Collection'!F29*C9+'Data Collection'!N29*C10+'Data Collection'!D29*C11+'Data Collection'!E29*C12+'Data Collection'!I29*C13+'Data Collection'!G29*C14+'Data Collection'!M29*C15</f>
        <v>0.19903318766496392</v>
      </c>
      <c r="D20" s="15">
        <f t="shared" ref="D20:D25" si="1">C20-B20</f>
        <v>1.5702334791665162E-2</v>
      </c>
    </row>
    <row r="21" spans="1:5" x14ac:dyDescent="0.3">
      <c r="A21" t="s">
        <v>133</v>
      </c>
      <c r="B21" s="10">
        <f>'Performance Evaluation'!C12</f>
        <v>3.0468143950517793E-2</v>
      </c>
      <c r="C21" s="10">
        <f>SQRT(C6^2*'Data Collection'!H31^2+C7^2*'Data Collection'!B31^2+C8^2*'Data Collection'!J31^2+C9^2*'Data Collection'!F31^2+C10^2*'Data Collection'!N31^2+C11^2*'Data Collection'!D31^2+C12^2*'Data Collection'!E31^2+C13^2*'Data Collection'!I31^2+C14^2*'Data Collection'!G31^2+C15^2*'Data Collection'!M31^2)</f>
        <v>3.3330688688070237E-2</v>
      </c>
      <c r="D21" s="15">
        <f t="shared" si="1"/>
        <v>2.8625447375524443E-3</v>
      </c>
    </row>
    <row r="22" spans="1:5" x14ac:dyDescent="0.3">
      <c r="A22" t="s">
        <v>134</v>
      </c>
      <c r="B22" s="12">
        <f>'Performance Evaluation'!C13</f>
        <v>0.64807474099654649</v>
      </c>
      <c r="C22" s="12">
        <f>'Data Collection'!H32*C6+'Data Collection'!B32*C7+'Data Collection'!J32*C8+'Data Collection'!F32*C9+'Data Collection'!N32*C10+'Data Collection'!D32*C11+'Data Collection'!E32*C12+'Data Collection'!I32*C13+'Data Collection'!G32*C14+'Data Collection'!M32*C15</f>
        <v>0.67689411692155899</v>
      </c>
      <c r="D22" s="15">
        <f t="shared" si="1"/>
        <v>2.8819375925012491E-2</v>
      </c>
    </row>
    <row r="23" spans="1:5" x14ac:dyDescent="0.3">
      <c r="A23" t="s">
        <v>38</v>
      </c>
      <c r="B23" s="13">
        <f>'Performance Evaluation'!C17</f>
        <v>4.0478623533352058</v>
      </c>
      <c r="C23" s="13">
        <f>(C20-'Data Collection'!B36)/C21</f>
        <v>4.1713265803213622</v>
      </c>
      <c r="D23" s="16">
        <f t="shared" si="1"/>
        <v>0.12346422698615633</v>
      </c>
    </row>
    <row r="24" spans="1:5" x14ac:dyDescent="0.3">
      <c r="A24" t="s">
        <v>52</v>
      </c>
      <c r="B24" s="13">
        <f>'Performance Evaluation'!C18</f>
        <v>0.190303440439065</v>
      </c>
      <c r="C24" s="13">
        <f>(C20-'Data Collection'!B36)/C22</f>
        <v>0.20539872365455292</v>
      </c>
      <c r="D24" s="16">
        <f t="shared" si="1"/>
        <v>1.509528321548792E-2</v>
      </c>
    </row>
    <row r="25" spans="1:5" x14ac:dyDescent="0.3">
      <c r="A25" t="s">
        <v>51</v>
      </c>
      <c r="B25" s="10">
        <f>'Performance Evaluation'!C19</f>
        <v>5.7949461192897289E-2</v>
      </c>
      <c r="C25" s="10">
        <f>C20-('Data Collection'!B36+C22*('Data Collection'!B37-'Data Collection'!B36))</f>
        <v>7.0744336726945745E-2</v>
      </c>
      <c r="D25" s="15">
        <f t="shared" si="1"/>
        <v>1.2794875534048455E-2</v>
      </c>
    </row>
  </sheetData>
  <mergeCells count="2">
    <mergeCell ref="A4:E4"/>
    <mergeCell ref="A18:E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55"/>
  <sheetViews>
    <sheetView showGridLines="0" workbookViewId="0">
      <selection activeCell="M11" sqref="M11"/>
    </sheetView>
  </sheetViews>
  <sheetFormatPr defaultRowHeight="13.8" x14ac:dyDescent="0.3"/>
  <cols>
    <col min="1" max="1" width="18.77734375" customWidth="1"/>
    <col min="2" max="2" width="15.109375" customWidth="1"/>
    <col min="3" max="3" width="11.109375" customWidth="1"/>
    <col min="4" max="4" width="13.88671875" customWidth="1"/>
    <col min="5" max="5" width="11.44140625" customWidth="1"/>
    <col min="6" max="6" width="12.77734375" customWidth="1"/>
  </cols>
  <sheetData>
    <row r="2" spans="1:6" x14ac:dyDescent="0.3">
      <c r="A2" t="s">
        <v>157</v>
      </c>
    </row>
    <row r="4" spans="1:6" ht="27.6" x14ac:dyDescent="0.3">
      <c r="A4" s="19" t="s">
        <v>153</v>
      </c>
    </row>
    <row r="5" spans="1:6" x14ac:dyDescent="0.3">
      <c r="A5" t="s">
        <v>136</v>
      </c>
    </row>
    <row r="6" spans="1:6" x14ac:dyDescent="0.3">
      <c r="A6" t="s">
        <v>155</v>
      </c>
    </row>
    <row r="8" spans="1:6" x14ac:dyDescent="0.3">
      <c r="A8" s="5" t="s">
        <v>37</v>
      </c>
      <c r="B8" s="5" t="s">
        <v>3</v>
      </c>
      <c r="C8" s="5" t="s">
        <v>36</v>
      </c>
      <c r="D8" s="5" t="s">
        <v>138</v>
      </c>
      <c r="E8" s="5" t="s">
        <v>21</v>
      </c>
      <c r="F8" s="5" t="s">
        <v>145</v>
      </c>
    </row>
    <row r="9" spans="1:6" x14ac:dyDescent="0.3">
      <c r="A9" t="s">
        <v>14</v>
      </c>
      <c r="B9" t="s">
        <v>6</v>
      </c>
      <c r="C9" s="3">
        <v>0.2</v>
      </c>
      <c r="D9" s="3">
        <f>'Data Collection'!K29</f>
        <v>0.36781001691048076</v>
      </c>
      <c r="E9" s="4">
        <f>'Data Collection'!K32</f>
        <v>1.1878391711889491</v>
      </c>
      <c r="F9" t="s">
        <v>150</v>
      </c>
    </row>
    <row r="10" spans="1:6" x14ac:dyDescent="0.3">
      <c r="A10" t="s">
        <v>17</v>
      </c>
      <c r="B10" t="s">
        <v>7</v>
      </c>
      <c r="C10" s="3">
        <v>0.18</v>
      </c>
      <c r="D10" s="3">
        <f>'Data Collection'!D29</f>
        <v>0.27035603866002211</v>
      </c>
      <c r="E10" s="4">
        <f>'Data Collection'!D32</f>
        <v>0.90769918598914645</v>
      </c>
      <c r="F10" t="s">
        <v>154</v>
      </c>
    </row>
    <row r="11" spans="1:6" x14ac:dyDescent="0.3">
      <c r="A11" t="s">
        <v>11</v>
      </c>
      <c r="B11" t="s">
        <v>27</v>
      </c>
      <c r="C11" s="3">
        <v>0.15</v>
      </c>
      <c r="D11" s="3">
        <f>'Data Collection'!N29</f>
        <v>0.2639067860584885</v>
      </c>
      <c r="E11" s="4">
        <f>'Data Collection'!N32</f>
        <v>0.73899235323137646</v>
      </c>
      <c r="F11" t="s">
        <v>139</v>
      </c>
    </row>
    <row r="12" spans="1:6" x14ac:dyDescent="0.3">
      <c r="A12" t="s">
        <v>24</v>
      </c>
      <c r="B12" t="s">
        <v>2</v>
      </c>
      <c r="C12" s="3">
        <v>0.15</v>
      </c>
      <c r="D12" s="3">
        <f>'Data Collection'!I29</f>
        <v>0.22712390941406246</v>
      </c>
      <c r="E12" s="4">
        <f>'Data Collection'!I32</f>
        <v>0.78067957572767621</v>
      </c>
      <c r="F12" t="s">
        <v>143</v>
      </c>
    </row>
    <row r="13" spans="1:6" x14ac:dyDescent="0.3">
      <c r="A13" t="s">
        <v>23</v>
      </c>
      <c r="B13" t="s">
        <v>7</v>
      </c>
      <c r="C13" s="3">
        <v>0.12</v>
      </c>
      <c r="D13" s="3">
        <f>'Data Collection'!C29</f>
        <v>0.18114782503906235</v>
      </c>
      <c r="E13" s="4">
        <f>'Data Collection'!C32</f>
        <v>0.72189504193389242</v>
      </c>
      <c r="F13" t="s">
        <v>156</v>
      </c>
    </row>
    <row r="14" spans="1:6" x14ac:dyDescent="0.3">
      <c r="A14" t="s">
        <v>9</v>
      </c>
      <c r="B14" t="s">
        <v>20</v>
      </c>
      <c r="C14" s="3">
        <v>0.1</v>
      </c>
      <c r="D14" s="3">
        <f>'Data Collection'!M29</f>
        <v>0.12201615534696897</v>
      </c>
      <c r="E14" s="4">
        <f>'Data Collection'!M32</f>
        <v>0.64098729649728647</v>
      </c>
      <c r="F14" t="s">
        <v>135</v>
      </c>
    </row>
    <row r="15" spans="1:6" x14ac:dyDescent="0.3">
      <c r="A15" t="s">
        <v>1</v>
      </c>
      <c r="B15" t="s">
        <v>8</v>
      </c>
      <c r="C15" s="3">
        <v>0.1</v>
      </c>
      <c r="D15" s="3">
        <f>'Data Collection'!J29</f>
        <v>0.22969093028906173</v>
      </c>
      <c r="E15" s="4">
        <f>'Data Collection'!J32</f>
        <v>0.6013351011346818</v>
      </c>
      <c r="F15" t="s">
        <v>152</v>
      </c>
    </row>
    <row r="16" spans="1:6" x14ac:dyDescent="0.3">
      <c r="A16" s="1" t="s">
        <v>35</v>
      </c>
      <c r="C16" s="3">
        <f>SUM(C9:C15)</f>
        <v>1</v>
      </c>
      <c r="D16" s="3">
        <f>SUMPRODUCT(C9:C15,D9:D15)</f>
        <v>0.25278914223007332</v>
      </c>
      <c r="E16">
        <f>SUMPRODUCT(C9:C15,E9:E15)</f>
        <v>0.83976412185495808</v>
      </c>
    </row>
    <row r="17" spans="1:6" x14ac:dyDescent="0.3">
      <c r="A17" s="1" t="s">
        <v>140</v>
      </c>
      <c r="D17" s="4">
        <f>(D16-'Data Collection'!B36)/0.12</f>
        <v>1.6065761852506111</v>
      </c>
    </row>
    <row r="19" spans="1:6" ht="41.4" x14ac:dyDescent="0.3">
      <c r="A19" s="20" t="s">
        <v>147</v>
      </c>
    </row>
    <row r="20" spans="1:6" x14ac:dyDescent="0.3">
      <c r="A20" t="s">
        <v>144</v>
      </c>
    </row>
    <row r="21" spans="1:6" x14ac:dyDescent="0.3">
      <c r="A21" t="s">
        <v>151</v>
      </c>
    </row>
    <row r="23" spans="1:6" x14ac:dyDescent="0.3">
      <c r="A23" s="5" t="s">
        <v>37</v>
      </c>
      <c r="B23" s="5" t="s">
        <v>3</v>
      </c>
      <c r="C23" s="5" t="s">
        <v>36</v>
      </c>
      <c r="D23" s="5" t="s">
        <v>138</v>
      </c>
      <c r="E23" s="5" t="s">
        <v>21</v>
      </c>
      <c r="F23" s="5" t="s">
        <v>145</v>
      </c>
    </row>
    <row r="24" spans="1:6" x14ac:dyDescent="0.3">
      <c r="A24" t="s">
        <v>1</v>
      </c>
      <c r="B24" t="s">
        <v>8</v>
      </c>
      <c r="C24" s="3">
        <v>0.15</v>
      </c>
      <c r="D24" s="3">
        <f>'Data Collection'!J29</f>
        <v>0.22969093028906173</v>
      </c>
      <c r="E24" s="4">
        <f>'Data Collection'!J32</f>
        <v>0.6013351011346818</v>
      </c>
      <c r="F24" t="s">
        <v>142</v>
      </c>
    </row>
    <row r="25" spans="1:6" x14ac:dyDescent="0.3">
      <c r="A25" t="s">
        <v>12</v>
      </c>
      <c r="B25" t="s">
        <v>16</v>
      </c>
      <c r="C25" s="3">
        <v>0.14000000000000001</v>
      </c>
      <c r="D25" s="3">
        <f>'Data Collection'!H29</f>
        <v>0.21504326614580038</v>
      </c>
      <c r="E25" s="4">
        <f>'Data Collection'!H32</f>
        <v>0.5313116674888998</v>
      </c>
      <c r="F25" t="s">
        <v>149</v>
      </c>
    </row>
    <row r="26" spans="1:6" x14ac:dyDescent="0.3">
      <c r="A26" t="s">
        <v>17</v>
      </c>
      <c r="B26" t="s">
        <v>7</v>
      </c>
      <c r="C26" s="3">
        <v>0.14000000000000001</v>
      </c>
      <c r="D26" s="3">
        <f>'Data Collection'!D29</f>
        <v>0.27035603866002211</v>
      </c>
      <c r="E26" s="4">
        <f>'Data Collection'!D32</f>
        <v>0.90769918598914645</v>
      </c>
      <c r="F26" t="s">
        <v>137</v>
      </c>
    </row>
    <row r="27" spans="1:6" x14ac:dyDescent="0.3">
      <c r="A27" t="s">
        <v>11</v>
      </c>
      <c r="B27" t="s">
        <v>27</v>
      </c>
      <c r="C27" s="3">
        <v>0.12</v>
      </c>
      <c r="D27" s="3">
        <f>'Data Collection'!N29</f>
        <v>0.2639067860584885</v>
      </c>
      <c r="E27" s="4">
        <f>'Data Collection'!N32</f>
        <v>0.73899235323137646</v>
      </c>
      <c r="F27" t="s">
        <v>146</v>
      </c>
    </row>
    <row r="28" spans="1:6" x14ac:dyDescent="0.3">
      <c r="A28" t="s">
        <v>13</v>
      </c>
      <c r="B28" t="s">
        <v>7</v>
      </c>
      <c r="C28" s="3">
        <v>0.12</v>
      </c>
      <c r="D28" s="3">
        <f>'Data Collection'!B29</f>
        <v>0.14331566983465649</v>
      </c>
      <c r="E28" s="4">
        <f>'Data Collection'!B32</f>
        <v>0.59432042427232357</v>
      </c>
      <c r="F28" t="s">
        <v>160</v>
      </c>
    </row>
    <row r="29" spans="1:6" x14ac:dyDescent="0.3">
      <c r="A29" t="s">
        <v>24</v>
      </c>
      <c r="B29" t="s">
        <v>2</v>
      </c>
      <c r="C29" s="3">
        <v>0.1</v>
      </c>
      <c r="D29" s="3">
        <f>'Data Collection'!I29</f>
        <v>0.22712390941406246</v>
      </c>
      <c r="E29" s="4">
        <f>'Data Collection'!I32</f>
        <v>0.78067957572767621</v>
      </c>
      <c r="F29" t="s">
        <v>141</v>
      </c>
    </row>
    <row r="30" spans="1:6" x14ac:dyDescent="0.3">
      <c r="A30" t="s">
        <v>14</v>
      </c>
      <c r="B30" t="s">
        <v>6</v>
      </c>
      <c r="C30" s="3">
        <v>0.08</v>
      </c>
      <c r="D30" s="3">
        <f>'Data Collection'!K29</f>
        <v>0.36781001691048076</v>
      </c>
      <c r="E30" s="4">
        <f>'Data Collection'!K32</f>
        <v>1.1878391711889491</v>
      </c>
      <c r="F30" t="s">
        <v>159</v>
      </c>
    </row>
    <row r="31" spans="1:6" x14ac:dyDescent="0.3">
      <c r="A31" t="s">
        <v>5</v>
      </c>
      <c r="B31" t="s">
        <v>22</v>
      </c>
      <c r="C31" s="3">
        <v>0.08</v>
      </c>
      <c r="D31" s="3">
        <f>'Data Collection'!F29</f>
        <v>6.6811533579175908E-2</v>
      </c>
      <c r="E31" s="4">
        <f>'Data Collection'!F32</f>
        <v>0.53643006906758761</v>
      </c>
      <c r="F31" t="s">
        <v>158</v>
      </c>
    </row>
    <row r="32" spans="1:6" x14ac:dyDescent="0.3">
      <c r="A32" t="s">
        <v>28</v>
      </c>
      <c r="B32" t="s">
        <v>7</v>
      </c>
      <c r="C32" s="3">
        <v>7.0000000000000007E-2</v>
      </c>
      <c r="D32" s="3">
        <f>'Data Collection'!E29</f>
        <v>0.15129728770337425</v>
      </c>
      <c r="E32" s="4">
        <f>'Data Collection'!E32</f>
        <v>0.66425135668475577</v>
      </c>
      <c r="F32" t="s">
        <v>148</v>
      </c>
    </row>
    <row r="33" spans="1:6" x14ac:dyDescent="0.3">
      <c r="A33" s="1" t="s">
        <v>35</v>
      </c>
      <c r="C33" s="3">
        <f>SUM(C24:C32)</f>
        <v>1</v>
      </c>
      <c r="D33" s="3">
        <f>SUMPRODUCT(C24:C32,D24:D32)</f>
        <v>0.21934916204316679</v>
      </c>
      <c r="E33">
        <f>SUMPRODUCT(C24:C32,E24:E32)</f>
        <v>0.7141664097187963</v>
      </c>
    </row>
    <row r="34" spans="1:6" x14ac:dyDescent="0.3">
      <c r="A34" s="1" t="s">
        <v>140</v>
      </c>
      <c r="D34" s="4">
        <f>(D33-'Data Collection'!B36)/0.1</f>
        <v>1.5934916204316678</v>
      </c>
    </row>
    <row r="36" spans="1:6" ht="27.6" x14ac:dyDescent="0.3">
      <c r="A36" s="21" t="s">
        <v>162</v>
      </c>
    </row>
    <row r="37" spans="1:6" x14ac:dyDescent="0.3">
      <c r="A37" t="s">
        <v>178</v>
      </c>
    </row>
    <row r="38" spans="1:6" x14ac:dyDescent="0.3">
      <c r="A38" t="s">
        <v>169</v>
      </c>
    </row>
    <row r="40" spans="1:6" x14ac:dyDescent="0.3">
      <c r="A40" s="5" t="s">
        <v>37</v>
      </c>
      <c r="B40" s="5" t="s">
        <v>3</v>
      </c>
      <c r="C40" s="5" t="s">
        <v>36</v>
      </c>
      <c r="D40" s="5" t="s">
        <v>138</v>
      </c>
      <c r="E40" s="5" t="s">
        <v>21</v>
      </c>
      <c r="F40" s="5" t="s">
        <v>145</v>
      </c>
    </row>
    <row r="41" spans="1:6" x14ac:dyDescent="0.3">
      <c r="A41" t="s">
        <v>12</v>
      </c>
      <c r="B41" t="s">
        <v>16</v>
      </c>
      <c r="C41" s="3">
        <v>0.2</v>
      </c>
      <c r="D41" s="3">
        <f>'Data Collection'!H29</f>
        <v>0.21504326614580038</v>
      </c>
      <c r="E41" s="4">
        <f>'Data Collection'!H32</f>
        <v>0.5313116674888998</v>
      </c>
      <c r="F41" t="s">
        <v>179</v>
      </c>
    </row>
    <row r="42" spans="1:6" x14ac:dyDescent="0.3">
      <c r="A42" t="s">
        <v>13</v>
      </c>
      <c r="B42" t="s">
        <v>7</v>
      </c>
      <c r="C42" s="3">
        <v>0.18</v>
      </c>
      <c r="D42" s="3">
        <f>'Data Collection'!B29</f>
        <v>0.14331566983465649</v>
      </c>
      <c r="E42" s="4">
        <f>'Data Collection'!B32</f>
        <v>0.59432042427232357</v>
      </c>
      <c r="F42" t="s">
        <v>165</v>
      </c>
    </row>
    <row r="43" spans="1:6" x14ac:dyDescent="0.3">
      <c r="A43" t="s">
        <v>1</v>
      </c>
      <c r="B43" t="s">
        <v>8</v>
      </c>
      <c r="C43" s="3">
        <v>0.16</v>
      </c>
      <c r="D43" s="3">
        <f>'Data Collection'!J29</f>
        <v>0.22969093028906173</v>
      </c>
      <c r="E43" s="4">
        <f>'Data Collection'!J32</f>
        <v>0.6013351011346818</v>
      </c>
      <c r="F43" t="s">
        <v>171</v>
      </c>
    </row>
    <row r="44" spans="1:6" x14ac:dyDescent="0.3">
      <c r="A44" t="s">
        <v>5</v>
      </c>
      <c r="B44" t="s">
        <v>22</v>
      </c>
      <c r="C44" s="3">
        <v>0.14000000000000001</v>
      </c>
      <c r="D44" s="3">
        <f>'Data Collection'!F29</f>
        <v>6.6811533579175908E-2</v>
      </c>
      <c r="E44" s="4">
        <f>'Data Collection'!F32</f>
        <v>0.53643006906758761</v>
      </c>
      <c r="F44" t="s">
        <v>180</v>
      </c>
    </row>
    <row r="45" spans="1:6" x14ac:dyDescent="0.3">
      <c r="A45" t="s">
        <v>11</v>
      </c>
      <c r="B45" t="s">
        <v>27</v>
      </c>
      <c r="C45" s="3">
        <v>0.12</v>
      </c>
      <c r="D45" s="3">
        <f>'Data Collection'!N29</f>
        <v>0.2639067860584885</v>
      </c>
      <c r="E45" s="4">
        <f>'Data Collection'!N32</f>
        <v>0.73899235323137646</v>
      </c>
      <c r="F45" t="s">
        <v>177</v>
      </c>
    </row>
    <row r="46" spans="1:6" x14ac:dyDescent="0.3">
      <c r="A46" t="s">
        <v>24</v>
      </c>
      <c r="B46" t="s">
        <v>2</v>
      </c>
      <c r="C46" s="3">
        <v>0.1</v>
      </c>
      <c r="D46" s="3">
        <f>'Data Collection'!I29</f>
        <v>0.22712390941406246</v>
      </c>
      <c r="E46" s="4">
        <f>'Data Collection'!I32</f>
        <v>0.78067957572767621</v>
      </c>
      <c r="F46" t="s">
        <v>174</v>
      </c>
    </row>
    <row r="47" spans="1:6" x14ac:dyDescent="0.3">
      <c r="A47" t="s">
        <v>15</v>
      </c>
      <c r="B47" t="s">
        <v>22</v>
      </c>
      <c r="C47" s="3">
        <v>0.1</v>
      </c>
      <c r="D47" s="3">
        <f>'Data Collection'!G29</f>
        <v>8.3918616068945573E-2</v>
      </c>
      <c r="E47" s="4">
        <f>'Data Collection'!G32</f>
        <v>0.60770226936359151</v>
      </c>
      <c r="F47" t="s">
        <v>172</v>
      </c>
    </row>
    <row r="48" spans="1:6" x14ac:dyDescent="0.3">
      <c r="A48" s="1" t="s">
        <v>35</v>
      </c>
      <c r="C48" s="3">
        <f>SUM(C41:C47)</f>
        <v>1</v>
      </c>
      <c r="D48" s="3">
        <f>SUMPRODUCT(C41:C47,D41:D47)</f>
        <v>0.17768270422205218</v>
      </c>
      <c r="E48">
        <f>SUMPRODUCT(C41:C47,E41:E47)</f>
        <v>0.61207110261470155</v>
      </c>
    </row>
    <row r="49" spans="1:6" x14ac:dyDescent="0.3">
      <c r="A49" s="1" t="s">
        <v>140</v>
      </c>
      <c r="D49" s="3">
        <f>(D48-'Data Collection'!B36)/0.08</f>
        <v>1.4710338027756522</v>
      </c>
    </row>
    <row r="51" spans="1:6" x14ac:dyDescent="0.3">
      <c r="A51" s="2" t="s">
        <v>176</v>
      </c>
    </row>
    <row r="52" spans="1:6" x14ac:dyDescent="0.3">
      <c r="A52" s="5" t="s">
        <v>170</v>
      </c>
      <c r="B52" s="5" t="s">
        <v>31</v>
      </c>
      <c r="C52" s="5" t="s">
        <v>166</v>
      </c>
      <c r="D52" s="5" t="s">
        <v>134</v>
      </c>
      <c r="E52" s="5" t="s">
        <v>38</v>
      </c>
      <c r="F52" s="5" t="s">
        <v>163</v>
      </c>
    </row>
    <row r="53" spans="1:6" x14ac:dyDescent="0.3">
      <c r="A53" t="s">
        <v>175</v>
      </c>
      <c r="B53" s="3">
        <f>D16</f>
        <v>0.25278914223007332</v>
      </c>
      <c r="C53" s="3">
        <f>'Data Collection'!K31*0.2+'Data Collection'!D31*0.18+'Data Collection'!N31*0.15+'Data Collection'!I31*0.15+'Data Collection'!C31*0.12+'Data Collection'!M31*0.1+'Data Collection'!J31*0.1</f>
        <v>0.11940004832046371</v>
      </c>
      <c r="D53">
        <f>E16</f>
        <v>0.83976412185495808</v>
      </c>
      <c r="E53" s="6">
        <f>D17</f>
        <v>1.6065761852506111</v>
      </c>
      <c r="F53" t="s">
        <v>164</v>
      </c>
    </row>
    <row r="54" spans="1:6" x14ac:dyDescent="0.3">
      <c r="A54" t="s">
        <v>168</v>
      </c>
      <c r="B54" s="3">
        <f>D33</f>
        <v>0.21934916204316679</v>
      </c>
      <c r="C54" s="3">
        <f>'Data Collection'!J31*0.15+'Data Collection'!H31*0.14+'Data Collection'!D31*0.14+'Data Collection'!N31*0.12+'Data Collection'!B31*0.12+'Data Collection'!I31*0.1+'Data Collection'!K31*0.08+'Data Collection'!F31*0.08+'Data Collection'!E31*0.07</f>
        <v>0.10144787233643111</v>
      </c>
      <c r="D54">
        <f>E33</f>
        <v>0.7141664097187963</v>
      </c>
      <c r="E54" s="6">
        <f>D34</f>
        <v>1.5934916204316678</v>
      </c>
      <c r="F54" t="s">
        <v>161</v>
      </c>
    </row>
    <row r="55" spans="1:6" x14ac:dyDescent="0.3">
      <c r="A55" t="s">
        <v>167</v>
      </c>
      <c r="B55" s="3">
        <f>D48</f>
        <v>0.17768270422205218</v>
      </c>
      <c r="C55" s="3">
        <f>'Data Collection'!H31*0.2+'Data Collection'!B31*0.18+'Data Collection'!J31*0.16+'Data Collection'!F31*0.14+'Data Collection'!N31*0.12+'Data Collection'!I31*0.1+'Data Collection'!G31*0.1</f>
        <v>8.7125774140215939E-2</v>
      </c>
      <c r="D55">
        <f>E48</f>
        <v>0.61207110261470155</v>
      </c>
      <c r="E55" s="6">
        <f>D49</f>
        <v>1.4710338027756522</v>
      </c>
      <c r="F55" t="s">
        <v>173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Collection</vt:lpstr>
      <vt:lpstr>Portfolio Construction</vt:lpstr>
      <vt:lpstr>Performance Evaluation</vt:lpstr>
      <vt:lpstr>Comparative Analysis</vt:lpstr>
      <vt:lpstr>Revised Portfolio</vt:lpstr>
      <vt:lpstr>Investor Suitability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trufflepig user</dc:creator>
  <cp:keywords/>
  <dc:description/>
  <cp:lastModifiedBy>LENOVO</cp:lastModifiedBy>
  <cp:revision/>
  <dcterms:created xsi:type="dcterms:W3CDTF">2026-02-24T13:25:35Z</dcterms:created>
  <dcterms:modified xsi:type="dcterms:W3CDTF">2026-02-26T17:20:50Z</dcterms:modified>
  <cp:category/>
  <cp:contentStatus/>
</cp:coreProperties>
</file>